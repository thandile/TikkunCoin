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0_ncr:8100000_{FFFBAFD7-2C56-4764-A88C-F4EC4388054C}" xr6:coauthVersionLast="34" xr6:coauthVersionMax="34" xr10:uidLastSave="{00000000-0000-0000-0000-000000000000}"/>
  <bookViews>
    <workbookView xWindow="0" yWindow="0" windowWidth="22260" windowHeight="12648" tabRatio="739" activeTab="1" xr2:uid="{00000000-000D-0000-FFFF-FFFF00000000}"/>
  </bookViews>
  <sheets>
    <sheet name="Contents" sheetId="12" r:id="rId1"/>
    <sheet name="1. Portfolio" sheetId="1" r:id="rId2"/>
    <sheet name="2. Transactions" sheetId="11" r:id="rId3"/>
    <sheet name="3a. Bond data V" sheetId="5" r:id="rId4"/>
    <sheet name="3b. Bond data CPI" sheetId="9" r:id="rId5"/>
    <sheet name="4. Swap calculations" sheetId="2" r:id="rId6"/>
    <sheet name="5a. Bond info" sheetId="6" r:id="rId7"/>
    <sheet name="5b. Spot rates" sheetId="7" r:id="rId8"/>
    <sheet name="5c. Ranges" sheetId="3" r:id="rId9"/>
  </sheets>
  <definedNames>
    <definedName name="Hols">'5c. Ranges'!$A$2:$A$168</definedName>
    <definedName name="solver_adj" localSheetId="5" hidden="1">'4. Swap calculations'!#REF!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'4. Swap calculations'!$K$6</definedName>
    <definedName name="solver_pre" localSheetId="5" hidden="1">0.000001</definedName>
    <definedName name="solver_rbv" localSheetId="5" hidden="1">1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3</definedName>
    <definedName name="solver_val" localSheetId="5" hidden="1">0</definedName>
    <definedName name="solver_ver" localSheetId="5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1" l="1"/>
  <c r="C10" i="2" l="1"/>
  <c r="K11" i="1"/>
  <c r="C3" i="11"/>
  <c r="D3" i="11"/>
  <c r="C4" i="11"/>
  <c r="D4" i="11"/>
  <c r="C5" i="11"/>
  <c r="D5" i="11"/>
  <c r="C6" i="11"/>
  <c r="D6" i="11"/>
  <c r="C7" i="11"/>
  <c r="D7" i="11"/>
  <c r="C8" i="11"/>
  <c r="D8" i="11"/>
  <c r="C9" i="11"/>
  <c r="D9" i="11"/>
  <c r="C10" i="11"/>
  <c r="D10" i="11"/>
  <c r="C11" i="11"/>
  <c r="D11" i="11"/>
  <c r="C12" i="11"/>
  <c r="D12" i="11"/>
  <c r="C13" i="11"/>
  <c r="D13" i="11"/>
  <c r="C14" i="11"/>
  <c r="D14" i="11"/>
  <c r="C15" i="11"/>
  <c r="D15" i="11"/>
  <c r="C16" i="11"/>
  <c r="D16" i="11"/>
  <c r="C17" i="11"/>
  <c r="D17" i="11"/>
  <c r="C18" i="11"/>
  <c r="D18" i="11"/>
  <c r="C19" i="11"/>
  <c r="D19" i="11"/>
  <c r="C20" i="11"/>
  <c r="D20" i="11"/>
  <c r="C21" i="11"/>
  <c r="D21" i="11"/>
  <c r="C22" i="11"/>
  <c r="D22" i="11"/>
  <c r="C23" i="11"/>
  <c r="D23" i="11"/>
  <c r="C24" i="11"/>
  <c r="D24" i="11"/>
  <c r="C25" i="11"/>
  <c r="D25" i="11"/>
  <c r="C26" i="11"/>
  <c r="D26" i="11"/>
  <c r="C27" i="11"/>
  <c r="D27" i="11"/>
  <c r="C28" i="11"/>
  <c r="D28" i="11"/>
  <c r="C29" i="11"/>
  <c r="D29" i="11"/>
  <c r="C30" i="11"/>
  <c r="D30" i="11"/>
  <c r="C31" i="11"/>
  <c r="D31" i="11"/>
  <c r="C32" i="11"/>
  <c r="D32" i="11"/>
  <c r="D2" i="11"/>
  <c r="C2" i="11"/>
  <c r="K2" i="11" l="1"/>
  <c r="K6" i="11" s="1"/>
  <c r="B2" i="11"/>
  <c r="P11" i="1"/>
  <c r="K8" i="1"/>
  <c r="K13" i="1" s="1"/>
  <c r="B3" i="11" l="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E30" i="11"/>
  <c r="G30" i="11" s="1"/>
  <c r="E26" i="11"/>
  <c r="G26" i="11" s="1"/>
  <c r="E22" i="11"/>
  <c r="G22" i="11" s="1"/>
  <c r="E18" i="11"/>
  <c r="G18" i="11" s="1"/>
  <c r="E14" i="11"/>
  <c r="G14" i="11" s="1"/>
  <c r="E10" i="11"/>
  <c r="G10" i="11" s="1"/>
  <c r="E6" i="11"/>
  <c r="G6" i="11" s="1"/>
  <c r="E2" i="11"/>
  <c r="G2" i="11" s="1"/>
  <c r="E31" i="11"/>
  <c r="G31" i="11" s="1"/>
  <c r="E29" i="11"/>
  <c r="G29" i="11" s="1"/>
  <c r="E27" i="11"/>
  <c r="G27" i="11" s="1"/>
  <c r="E25" i="11"/>
  <c r="G25" i="11" s="1"/>
  <c r="E23" i="11"/>
  <c r="G23" i="11" s="1"/>
  <c r="E21" i="11"/>
  <c r="G21" i="11" s="1"/>
  <c r="E19" i="11"/>
  <c r="G19" i="11" s="1"/>
  <c r="E17" i="11"/>
  <c r="G17" i="11" s="1"/>
  <c r="E15" i="11"/>
  <c r="G15" i="11" s="1"/>
  <c r="E13" i="11"/>
  <c r="G13" i="11" s="1"/>
  <c r="E11" i="11"/>
  <c r="G11" i="11" s="1"/>
  <c r="E9" i="11"/>
  <c r="G9" i="11" s="1"/>
  <c r="E7" i="11"/>
  <c r="G7" i="11" s="1"/>
  <c r="E5" i="11"/>
  <c r="G5" i="11" s="1"/>
  <c r="E3" i="11"/>
  <c r="G3" i="11" s="1"/>
  <c r="K7" i="11"/>
  <c r="F32" i="11"/>
  <c r="H32" i="11" s="1"/>
  <c r="F30" i="11"/>
  <c r="H30" i="11" s="1"/>
  <c r="F28" i="11"/>
  <c r="H28" i="11" s="1"/>
  <c r="F26" i="11"/>
  <c r="H26" i="11" s="1"/>
  <c r="F24" i="11"/>
  <c r="H24" i="11" s="1"/>
  <c r="F22" i="11"/>
  <c r="H22" i="11" s="1"/>
  <c r="F20" i="11"/>
  <c r="H20" i="11" s="1"/>
  <c r="F18" i="11"/>
  <c r="H18" i="11" s="1"/>
  <c r="F16" i="11"/>
  <c r="H16" i="11" s="1"/>
  <c r="F14" i="11"/>
  <c r="H14" i="11" s="1"/>
  <c r="F12" i="11"/>
  <c r="H12" i="11" s="1"/>
  <c r="F10" i="11"/>
  <c r="H10" i="11" s="1"/>
  <c r="F8" i="11"/>
  <c r="H8" i="11" s="1"/>
  <c r="F6" i="11"/>
  <c r="H6" i="11" s="1"/>
  <c r="F4" i="11"/>
  <c r="H4" i="11" s="1"/>
  <c r="E32" i="11"/>
  <c r="G32" i="11" s="1"/>
  <c r="E28" i="11"/>
  <c r="G28" i="11" s="1"/>
  <c r="E24" i="11"/>
  <c r="G24" i="11" s="1"/>
  <c r="E20" i="11"/>
  <c r="G20" i="11" s="1"/>
  <c r="E16" i="11"/>
  <c r="G16" i="11" s="1"/>
  <c r="E12" i="11"/>
  <c r="G12" i="11" s="1"/>
  <c r="E8" i="11"/>
  <c r="G8" i="11" s="1"/>
  <c r="E4" i="11"/>
  <c r="G4" i="11" s="1"/>
  <c r="F2" i="11"/>
  <c r="H2" i="11" s="1"/>
  <c r="F31" i="11"/>
  <c r="H31" i="11" s="1"/>
  <c r="F29" i="11"/>
  <c r="H29" i="11" s="1"/>
  <c r="F27" i="11"/>
  <c r="H27" i="11" s="1"/>
  <c r="F25" i="11"/>
  <c r="H25" i="11" s="1"/>
  <c r="F23" i="11"/>
  <c r="H23" i="11" s="1"/>
  <c r="F21" i="11"/>
  <c r="H21" i="11" s="1"/>
  <c r="F19" i="11"/>
  <c r="H19" i="11" s="1"/>
  <c r="F17" i="11"/>
  <c r="H17" i="11" s="1"/>
  <c r="F15" i="11"/>
  <c r="H15" i="11" s="1"/>
  <c r="F13" i="11"/>
  <c r="H13" i="11" s="1"/>
  <c r="F11" i="11"/>
  <c r="H11" i="11" s="1"/>
  <c r="F9" i="11"/>
  <c r="H9" i="11" s="1"/>
  <c r="F7" i="11"/>
  <c r="H7" i="11" s="1"/>
  <c r="F5" i="11"/>
  <c r="H5" i="11" s="1"/>
  <c r="F3" i="11"/>
  <c r="H3" i="11" s="1"/>
  <c r="C3" i="3"/>
  <c r="C4" i="3" s="1"/>
  <c r="C5" i="3" s="1"/>
  <c r="C6" i="3" s="1"/>
  <c r="C7" i="3" s="1"/>
  <c r="C8" i="3" s="1"/>
  <c r="I3" i="9"/>
  <c r="I4" i="9"/>
  <c r="I5" i="9"/>
  <c r="I6" i="9"/>
  <c r="I7" i="9"/>
  <c r="I8" i="9"/>
  <c r="I9" i="9"/>
  <c r="I2" i="9"/>
  <c r="D3" i="9"/>
  <c r="F3" i="9"/>
  <c r="D4" i="9"/>
  <c r="F4" i="9"/>
  <c r="D5" i="9"/>
  <c r="F5" i="9"/>
  <c r="D6" i="9"/>
  <c r="F6" i="9"/>
  <c r="D7" i="9"/>
  <c r="F7" i="9"/>
  <c r="D8" i="9"/>
  <c r="F8" i="9"/>
  <c r="D9" i="9"/>
  <c r="F9" i="9"/>
  <c r="O3" i="5"/>
  <c r="P3" i="5" s="1"/>
  <c r="O4" i="5"/>
  <c r="P4" i="5" s="1"/>
  <c r="O5" i="5"/>
  <c r="P5" i="5" s="1"/>
  <c r="O6" i="5"/>
  <c r="P6" i="5" s="1"/>
  <c r="O7" i="5"/>
  <c r="P7" i="5" s="1"/>
  <c r="O8" i="5"/>
  <c r="P8" i="5" s="1"/>
  <c r="O9" i="5"/>
  <c r="P9" i="5" s="1"/>
  <c r="O10" i="5"/>
  <c r="P10" i="5" s="1"/>
  <c r="O11" i="5"/>
  <c r="P11" i="5" s="1"/>
  <c r="O12" i="5"/>
  <c r="P12" i="5" s="1"/>
  <c r="O13" i="5"/>
  <c r="P13" i="5" s="1"/>
  <c r="O14" i="5"/>
  <c r="P14" i="5" s="1"/>
  <c r="O15" i="5"/>
  <c r="P15" i="5" s="1"/>
  <c r="O16" i="5"/>
  <c r="P16" i="5" s="1"/>
  <c r="O17" i="5"/>
  <c r="P17" i="5" s="1"/>
  <c r="O18" i="5"/>
  <c r="P18" i="5" s="1"/>
  <c r="O19" i="5"/>
  <c r="P19" i="5" s="1"/>
  <c r="O20" i="5"/>
  <c r="P20" i="5" s="1"/>
  <c r="O21" i="5"/>
  <c r="P21" i="5" s="1"/>
  <c r="O22" i="5"/>
  <c r="P22" i="5" s="1"/>
  <c r="O23" i="5"/>
  <c r="P23" i="5" s="1"/>
  <c r="O24" i="5"/>
  <c r="P24" i="5" s="1"/>
  <c r="O25" i="5"/>
  <c r="P25" i="5" s="1"/>
  <c r="O26" i="5"/>
  <c r="P26" i="5" s="1"/>
  <c r="O27" i="5"/>
  <c r="P27" i="5" s="1"/>
  <c r="O28" i="5"/>
  <c r="P28" i="5" s="1"/>
  <c r="O29" i="5"/>
  <c r="P29" i="5" s="1"/>
  <c r="O30" i="5"/>
  <c r="P30" i="5" s="1"/>
  <c r="O31" i="5"/>
  <c r="P31" i="5" s="1"/>
  <c r="O32" i="5"/>
  <c r="P32" i="5" s="1"/>
  <c r="O33" i="5"/>
  <c r="P33" i="5" s="1"/>
  <c r="O34" i="5"/>
  <c r="P34" i="5" s="1"/>
  <c r="O35" i="5"/>
  <c r="P35" i="5" s="1"/>
  <c r="O36" i="5"/>
  <c r="P36" i="5" s="1"/>
  <c r="O37" i="5"/>
  <c r="P37" i="5" s="1"/>
  <c r="O38" i="5"/>
  <c r="P38" i="5" s="1"/>
  <c r="O39" i="5"/>
  <c r="P39" i="5" s="1"/>
  <c r="O40" i="5"/>
  <c r="P40" i="5" s="1"/>
  <c r="O41" i="5"/>
  <c r="P41" i="5" s="1"/>
  <c r="O42" i="5"/>
  <c r="P42" i="5" s="1"/>
  <c r="O43" i="5"/>
  <c r="P43" i="5" s="1"/>
  <c r="O44" i="5"/>
  <c r="P44" i="5" s="1"/>
  <c r="O45" i="5"/>
  <c r="P45" i="5" s="1"/>
  <c r="O46" i="5"/>
  <c r="P46" i="5" s="1"/>
  <c r="O47" i="5"/>
  <c r="P47" i="5" s="1"/>
  <c r="O48" i="5"/>
  <c r="P48" i="5" s="1"/>
  <c r="O49" i="5"/>
  <c r="P49" i="5" s="1"/>
  <c r="O50" i="5"/>
  <c r="P50" i="5" s="1"/>
  <c r="O51" i="5"/>
  <c r="P51" i="5" s="1"/>
  <c r="O52" i="5"/>
  <c r="P52" i="5" s="1"/>
  <c r="O53" i="5"/>
  <c r="P53" i="5" s="1"/>
  <c r="O54" i="5"/>
  <c r="P54" i="5" s="1"/>
  <c r="O55" i="5"/>
  <c r="P55" i="5" s="1"/>
  <c r="O56" i="5"/>
  <c r="P56" i="5" s="1"/>
  <c r="O57" i="5"/>
  <c r="P57" i="5" s="1"/>
  <c r="O58" i="5"/>
  <c r="P58" i="5" s="1"/>
  <c r="O59" i="5"/>
  <c r="P59" i="5" s="1"/>
  <c r="O60" i="5"/>
  <c r="P60" i="5" s="1"/>
  <c r="O61" i="5"/>
  <c r="P61" i="5" s="1"/>
  <c r="O62" i="5"/>
  <c r="P62" i="5" s="1"/>
  <c r="O63" i="5"/>
  <c r="P63" i="5" s="1"/>
  <c r="O64" i="5"/>
  <c r="P64" i="5" s="1"/>
  <c r="O65" i="5"/>
  <c r="P65" i="5" s="1"/>
  <c r="O66" i="5"/>
  <c r="P66" i="5" s="1"/>
  <c r="O67" i="5"/>
  <c r="P67" i="5" s="1"/>
  <c r="O68" i="5"/>
  <c r="P68" i="5" s="1"/>
  <c r="O69" i="5"/>
  <c r="P69" i="5" s="1"/>
  <c r="O70" i="5"/>
  <c r="P70" i="5" s="1"/>
  <c r="O71" i="5"/>
  <c r="P71" i="5" s="1"/>
  <c r="O72" i="5"/>
  <c r="P72" i="5" s="1"/>
  <c r="O73" i="5"/>
  <c r="P73" i="5" s="1"/>
  <c r="O2" i="5"/>
  <c r="D3" i="5"/>
  <c r="F3" i="5"/>
  <c r="D4" i="5"/>
  <c r="F4" i="5"/>
  <c r="D5" i="5"/>
  <c r="F5" i="5"/>
  <c r="D6" i="5"/>
  <c r="F6" i="5"/>
  <c r="D7" i="5"/>
  <c r="F7" i="5"/>
  <c r="D8" i="5"/>
  <c r="F8" i="5"/>
  <c r="D9" i="5"/>
  <c r="F9" i="5"/>
  <c r="D10" i="5"/>
  <c r="F10" i="5"/>
  <c r="D11" i="5"/>
  <c r="F11" i="5"/>
  <c r="D12" i="5"/>
  <c r="F12" i="5"/>
  <c r="D13" i="5"/>
  <c r="F13" i="5"/>
  <c r="D14" i="5"/>
  <c r="F14" i="5"/>
  <c r="D15" i="5"/>
  <c r="F15" i="5"/>
  <c r="D16" i="5"/>
  <c r="F16" i="5"/>
  <c r="D17" i="5"/>
  <c r="F17" i="5"/>
  <c r="D18" i="5"/>
  <c r="F18" i="5"/>
  <c r="D19" i="5"/>
  <c r="F19" i="5"/>
  <c r="D20" i="5"/>
  <c r="F20" i="5"/>
  <c r="D21" i="5"/>
  <c r="F21" i="5"/>
  <c r="D22" i="5"/>
  <c r="F22" i="5"/>
  <c r="D23" i="5"/>
  <c r="F23" i="5"/>
  <c r="D24" i="5"/>
  <c r="F24" i="5"/>
  <c r="D25" i="5"/>
  <c r="F25" i="5"/>
  <c r="D26" i="5"/>
  <c r="F26" i="5"/>
  <c r="D27" i="5"/>
  <c r="F27" i="5"/>
  <c r="D28" i="5"/>
  <c r="F28" i="5"/>
  <c r="D29" i="5"/>
  <c r="F29" i="5"/>
  <c r="D30" i="5"/>
  <c r="F30" i="5"/>
  <c r="D31" i="5"/>
  <c r="F31" i="5"/>
  <c r="D32" i="5"/>
  <c r="F32" i="5"/>
  <c r="D33" i="5"/>
  <c r="F33" i="5"/>
  <c r="D34" i="5"/>
  <c r="F34" i="5"/>
  <c r="D35" i="5"/>
  <c r="F35" i="5"/>
  <c r="D36" i="5"/>
  <c r="F36" i="5"/>
  <c r="D37" i="5"/>
  <c r="F37" i="5"/>
  <c r="D38" i="5"/>
  <c r="F38" i="5"/>
  <c r="D39" i="5"/>
  <c r="F39" i="5"/>
  <c r="D40" i="5"/>
  <c r="F40" i="5"/>
  <c r="D41" i="5"/>
  <c r="F41" i="5"/>
  <c r="D42" i="5"/>
  <c r="F42" i="5"/>
  <c r="D43" i="5"/>
  <c r="F43" i="5"/>
  <c r="D44" i="5"/>
  <c r="F44" i="5"/>
  <c r="D45" i="5"/>
  <c r="F45" i="5"/>
  <c r="D46" i="5"/>
  <c r="F46" i="5"/>
  <c r="D47" i="5"/>
  <c r="F47" i="5"/>
  <c r="D48" i="5"/>
  <c r="F48" i="5"/>
  <c r="D49" i="5"/>
  <c r="F49" i="5"/>
  <c r="D50" i="5"/>
  <c r="F50" i="5"/>
  <c r="D51" i="5"/>
  <c r="F51" i="5"/>
  <c r="D52" i="5"/>
  <c r="F52" i="5"/>
  <c r="D53" i="5"/>
  <c r="F53" i="5"/>
  <c r="D54" i="5"/>
  <c r="F54" i="5"/>
  <c r="D55" i="5"/>
  <c r="F55" i="5"/>
  <c r="D56" i="5"/>
  <c r="F56" i="5"/>
  <c r="D57" i="5"/>
  <c r="F57" i="5"/>
  <c r="D58" i="5"/>
  <c r="F58" i="5"/>
  <c r="D59" i="5"/>
  <c r="F59" i="5"/>
  <c r="D60" i="5"/>
  <c r="F60" i="5"/>
  <c r="D61" i="5"/>
  <c r="F61" i="5"/>
  <c r="D62" i="5"/>
  <c r="F62" i="5"/>
  <c r="D63" i="5"/>
  <c r="F63" i="5"/>
  <c r="D64" i="5"/>
  <c r="F64" i="5"/>
  <c r="D65" i="5"/>
  <c r="F65" i="5"/>
  <c r="D66" i="5"/>
  <c r="F66" i="5"/>
  <c r="D67" i="5"/>
  <c r="F67" i="5"/>
  <c r="D68" i="5"/>
  <c r="F68" i="5"/>
  <c r="D69" i="5"/>
  <c r="F69" i="5"/>
  <c r="D70" i="5"/>
  <c r="F70" i="5"/>
  <c r="D71" i="5"/>
  <c r="F71" i="5"/>
  <c r="D72" i="5"/>
  <c r="F72" i="5"/>
  <c r="D73" i="5"/>
  <c r="F73" i="5"/>
  <c r="L7" i="11" l="1"/>
  <c r="L6" i="11"/>
  <c r="F2" i="9"/>
  <c r="D2" i="9"/>
  <c r="P2" i="5"/>
  <c r="D28" i="2"/>
  <c r="D29" i="2"/>
  <c r="D30" i="2"/>
  <c r="D31" i="2"/>
  <c r="D27" i="2"/>
  <c r="K62" i="2"/>
  <c r="K63" i="2"/>
  <c r="K64" i="2"/>
  <c r="K65" i="2"/>
  <c r="K66" i="2"/>
  <c r="J67" i="2"/>
  <c r="K67" i="2" s="1"/>
  <c r="K18" i="2"/>
  <c r="K19" i="2"/>
  <c r="K20" i="2"/>
  <c r="K21" i="2"/>
  <c r="K22" i="2"/>
  <c r="J23" i="2"/>
  <c r="K23" i="2" s="1"/>
  <c r="D32" i="2" l="1"/>
  <c r="F2" i="5" l="1"/>
  <c r="D2" i="5"/>
  <c r="C56" i="2" l="1"/>
  <c r="C54" i="2"/>
  <c r="C53" i="2"/>
  <c r="C52" i="2"/>
  <c r="C51" i="2"/>
  <c r="C13" i="2" l="1"/>
  <c r="C12" i="2"/>
  <c r="C11" i="2"/>
  <c r="F3" i="6"/>
  <c r="G3" i="6"/>
  <c r="F4" i="6"/>
  <c r="G4" i="6"/>
  <c r="F5" i="6"/>
  <c r="G5" i="6"/>
  <c r="F6" i="6"/>
  <c r="G6" i="6"/>
  <c r="F7" i="6"/>
  <c r="G7" i="6"/>
  <c r="F8" i="6"/>
  <c r="G8" i="6"/>
  <c r="F9" i="6"/>
  <c r="G9" i="6"/>
  <c r="F10" i="6"/>
  <c r="G10" i="6"/>
  <c r="F11" i="6"/>
  <c r="G11" i="6"/>
  <c r="F12" i="6"/>
  <c r="G12" i="6"/>
  <c r="F13" i="6"/>
  <c r="G13" i="6"/>
  <c r="F14" i="6"/>
  <c r="G14" i="6"/>
  <c r="F15" i="6"/>
  <c r="G15" i="6"/>
  <c r="F16" i="6"/>
  <c r="G16" i="6"/>
  <c r="F17" i="6"/>
  <c r="G17" i="6"/>
  <c r="F18" i="6"/>
  <c r="G18" i="6"/>
  <c r="F19" i="6"/>
  <c r="G19" i="6"/>
  <c r="F20" i="6"/>
  <c r="G20" i="6"/>
  <c r="G2" i="6"/>
  <c r="F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" i="6"/>
  <c r="H6" i="9" l="1"/>
  <c r="H3" i="9"/>
  <c r="H7" i="9"/>
  <c r="H4" i="9"/>
  <c r="H8" i="9"/>
  <c r="H5" i="9"/>
  <c r="H9" i="9"/>
  <c r="E14" i="5"/>
  <c r="E18" i="5"/>
  <c r="E54" i="5"/>
  <c r="E58" i="5"/>
  <c r="E62" i="5"/>
  <c r="E66" i="5"/>
  <c r="E70" i="5"/>
  <c r="E55" i="5"/>
  <c r="E59" i="5"/>
  <c r="E63" i="5"/>
  <c r="E67" i="5"/>
  <c r="E71" i="5"/>
  <c r="E15" i="5"/>
  <c r="E19" i="5"/>
  <c r="E12" i="5"/>
  <c r="E16" i="5"/>
  <c r="E20" i="5"/>
  <c r="E56" i="5"/>
  <c r="E60" i="5"/>
  <c r="E64" i="5"/>
  <c r="E68" i="5"/>
  <c r="E72" i="5"/>
  <c r="E13" i="5"/>
  <c r="E17" i="5"/>
  <c r="E21" i="5"/>
  <c r="E57" i="5"/>
  <c r="E73" i="5"/>
  <c r="E69" i="5"/>
  <c r="E65" i="5"/>
  <c r="E61" i="5"/>
  <c r="G3" i="9"/>
  <c r="J3" i="9" s="1"/>
  <c r="K3" i="9" s="1"/>
  <c r="G7" i="9"/>
  <c r="J7" i="9" s="1"/>
  <c r="K7" i="9" s="1"/>
  <c r="G4" i="9"/>
  <c r="J4" i="9" s="1"/>
  <c r="K4" i="9" s="1"/>
  <c r="G8" i="9"/>
  <c r="J8" i="9" s="1"/>
  <c r="K8" i="9" s="1"/>
  <c r="G5" i="9"/>
  <c r="J5" i="9" s="1"/>
  <c r="K5" i="9" s="1"/>
  <c r="G9" i="9"/>
  <c r="J9" i="9" s="1"/>
  <c r="K9" i="9" s="1"/>
  <c r="G6" i="9"/>
  <c r="G24" i="5"/>
  <c r="G28" i="5"/>
  <c r="G32" i="5"/>
  <c r="G36" i="5"/>
  <c r="G40" i="5"/>
  <c r="G44" i="5"/>
  <c r="G27" i="5"/>
  <c r="G25" i="5"/>
  <c r="G29" i="5"/>
  <c r="G33" i="5"/>
  <c r="G37" i="5"/>
  <c r="G41" i="5"/>
  <c r="G45" i="5"/>
  <c r="G22" i="5"/>
  <c r="G26" i="5"/>
  <c r="G30" i="5"/>
  <c r="G34" i="5"/>
  <c r="G38" i="5"/>
  <c r="G42" i="5"/>
  <c r="G23" i="5"/>
  <c r="G31" i="5"/>
  <c r="G39" i="5"/>
  <c r="G43" i="5"/>
  <c r="G35" i="5"/>
  <c r="E5" i="9"/>
  <c r="E9" i="9"/>
  <c r="E6" i="9"/>
  <c r="E3" i="9"/>
  <c r="E7" i="9"/>
  <c r="E4" i="9"/>
  <c r="E8" i="9"/>
  <c r="E22" i="5"/>
  <c r="E26" i="5"/>
  <c r="E30" i="5"/>
  <c r="E34" i="5"/>
  <c r="E38" i="5"/>
  <c r="E42" i="5"/>
  <c r="E25" i="5"/>
  <c r="E33" i="5"/>
  <c r="E23" i="5"/>
  <c r="E27" i="5"/>
  <c r="E31" i="5"/>
  <c r="E35" i="5"/>
  <c r="E39" i="5"/>
  <c r="E43" i="5"/>
  <c r="E24" i="5"/>
  <c r="E28" i="5"/>
  <c r="E32" i="5"/>
  <c r="E36" i="5"/>
  <c r="E40" i="5"/>
  <c r="E44" i="5"/>
  <c r="E29" i="5"/>
  <c r="E41" i="5"/>
  <c r="E37" i="5"/>
  <c r="E45" i="5"/>
  <c r="G4" i="5"/>
  <c r="G8" i="5"/>
  <c r="G5" i="5"/>
  <c r="G9" i="5"/>
  <c r="G6" i="5"/>
  <c r="G10" i="5"/>
  <c r="G3" i="5"/>
  <c r="G7" i="5"/>
  <c r="G11" i="5"/>
  <c r="H47" i="5"/>
  <c r="H51" i="5"/>
  <c r="H48" i="5"/>
  <c r="H52" i="5"/>
  <c r="H49" i="5"/>
  <c r="H53" i="5"/>
  <c r="H46" i="5"/>
  <c r="H50" i="5"/>
  <c r="H15" i="5"/>
  <c r="H19" i="5"/>
  <c r="H55" i="5"/>
  <c r="H59" i="5"/>
  <c r="H63" i="5"/>
  <c r="H67" i="5"/>
  <c r="H71" i="5"/>
  <c r="H56" i="5"/>
  <c r="H60" i="5"/>
  <c r="H64" i="5"/>
  <c r="H68" i="5"/>
  <c r="H72" i="5"/>
  <c r="H12" i="5"/>
  <c r="H16" i="5"/>
  <c r="H20" i="5"/>
  <c r="H13" i="5"/>
  <c r="H17" i="5"/>
  <c r="H21" i="5"/>
  <c r="H57" i="5"/>
  <c r="H61" i="5"/>
  <c r="H65" i="5"/>
  <c r="H69" i="5"/>
  <c r="H73" i="5"/>
  <c r="H14" i="5"/>
  <c r="H18" i="5"/>
  <c r="H58" i="5"/>
  <c r="H66" i="5"/>
  <c r="H62" i="5"/>
  <c r="H54" i="5"/>
  <c r="H70" i="5"/>
  <c r="H23" i="5"/>
  <c r="H27" i="5"/>
  <c r="H31" i="5"/>
  <c r="H35" i="5"/>
  <c r="H39" i="5"/>
  <c r="H43" i="5"/>
  <c r="H22" i="5"/>
  <c r="H30" i="5"/>
  <c r="H24" i="5"/>
  <c r="H28" i="5"/>
  <c r="H32" i="5"/>
  <c r="H36" i="5"/>
  <c r="H40" i="5"/>
  <c r="H44" i="5"/>
  <c r="H25" i="5"/>
  <c r="H29" i="5"/>
  <c r="H33" i="5"/>
  <c r="H37" i="5"/>
  <c r="H41" i="5"/>
  <c r="H45" i="5"/>
  <c r="H26" i="5"/>
  <c r="H34" i="5"/>
  <c r="H42" i="5"/>
  <c r="H38" i="5"/>
  <c r="I38" i="5" s="1"/>
  <c r="J38" i="5" s="1"/>
  <c r="K38" i="5" s="1"/>
  <c r="E6" i="5"/>
  <c r="E10" i="5"/>
  <c r="E3" i="5"/>
  <c r="E7" i="5"/>
  <c r="E11" i="5"/>
  <c r="E4" i="5"/>
  <c r="E8" i="5"/>
  <c r="E5" i="5"/>
  <c r="E9" i="5"/>
  <c r="E46" i="5"/>
  <c r="E50" i="5"/>
  <c r="E51" i="5"/>
  <c r="E47" i="5"/>
  <c r="E48" i="5"/>
  <c r="E52" i="5"/>
  <c r="E53" i="5"/>
  <c r="E49" i="5"/>
  <c r="H3" i="5"/>
  <c r="H7" i="5"/>
  <c r="H11" i="5"/>
  <c r="H4" i="5"/>
  <c r="H8" i="5"/>
  <c r="H5" i="5"/>
  <c r="H9" i="5"/>
  <c r="H6" i="5"/>
  <c r="H10" i="5"/>
  <c r="G48" i="5"/>
  <c r="G52" i="5"/>
  <c r="G49" i="5"/>
  <c r="G53" i="5"/>
  <c r="G46" i="5"/>
  <c r="G50" i="5"/>
  <c r="G47" i="5"/>
  <c r="G51" i="5"/>
  <c r="G12" i="5"/>
  <c r="I12" i="5" s="1"/>
  <c r="J12" i="5" s="1"/>
  <c r="K12" i="5" s="1"/>
  <c r="G16" i="5"/>
  <c r="I16" i="5" s="1"/>
  <c r="J16" i="5" s="1"/>
  <c r="K16" i="5" s="1"/>
  <c r="G20" i="5"/>
  <c r="I20" i="5" s="1"/>
  <c r="J20" i="5" s="1"/>
  <c r="K20" i="5" s="1"/>
  <c r="G56" i="5"/>
  <c r="G60" i="5"/>
  <c r="G64" i="5"/>
  <c r="G68" i="5"/>
  <c r="G72" i="5"/>
  <c r="G57" i="5"/>
  <c r="G61" i="5"/>
  <c r="G65" i="5"/>
  <c r="G69" i="5"/>
  <c r="G73" i="5"/>
  <c r="G19" i="5"/>
  <c r="I19" i="5" s="1"/>
  <c r="J19" i="5" s="1"/>
  <c r="K19" i="5" s="1"/>
  <c r="G13" i="5"/>
  <c r="G17" i="5"/>
  <c r="G21" i="5"/>
  <c r="G14" i="5"/>
  <c r="G18" i="5"/>
  <c r="G54" i="5"/>
  <c r="G58" i="5"/>
  <c r="G62" i="5"/>
  <c r="G66" i="5"/>
  <c r="G70" i="5"/>
  <c r="G15" i="5"/>
  <c r="I15" i="5" s="1"/>
  <c r="J15" i="5" s="1"/>
  <c r="K15" i="5" s="1"/>
  <c r="G55" i="5"/>
  <c r="G71" i="5"/>
  <c r="G63" i="5"/>
  <c r="G67" i="5"/>
  <c r="G59" i="5"/>
  <c r="G2" i="5"/>
  <c r="G2" i="9"/>
  <c r="E2" i="5"/>
  <c r="E2" i="9"/>
  <c r="H2" i="5"/>
  <c r="H2" i="9"/>
  <c r="B67" i="2"/>
  <c r="B66" i="2" s="1"/>
  <c r="B65" i="2" s="1"/>
  <c r="B64" i="2" s="1"/>
  <c r="B63" i="2" s="1"/>
  <c r="B62" i="2" s="1"/>
  <c r="B61" i="2" s="1"/>
  <c r="O9" i="1" l="1"/>
  <c r="O10" i="1"/>
  <c r="O8" i="1"/>
  <c r="I18" i="5"/>
  <c r="J18" i="5" s="1"/>
  <c r="K18" i="5" s="1"/>
  <c r="I49" i="5"/>
  <c r="J49" i="5" s="1"/>
  <c r="K49" i="5" s="1"/>
  <c r="I40" i="5"/>
  <c r="J40" i="5" s="1"/>
  <c r="K40" i="5" s="1"/>
  <c r="P9" i="1"/>
  <c r="P10" i="1"/>
  <c r="P8" i="1"/>
  <c r="I33" i="5"/>
  <c r="J33" i="5" s="1"/>
  <c r="K33" i="5" s="1"/>
  <c r="I39" i="5"/>
  <c r="J39" i="5" s="1"/>
  <c r="K39" i="5" s="1"/>
  <c r="I45" i="5"/>
  <c r="J45" i="5" s="1"/>
  <c r="K45" i="5" s="1"/>
  <c r="J6" i="9"/>
  <c r="K6" i="9" s="1"/>
  <c r="I17" i="5"/>
  <c r="J17" i="5" s="1"/>
  <c r="K17" i="5" s="1"/>
  <c r="I34" i="5"/>
  <c r="J34" i="5" s="1"/>
  <c r="K34" i="5" s="1"/>
  <c r="I21" i="5"/>
  <c r="J21" i="5" s="1"/>
  <c r="K21" i="5" s="1"/>
  <c r="I3" i="5"/>
  <c r="J3" i="5" s="1"/>
  <c r="K3" i="5" s="1"/>
  <c r="I44" i="5"/>
  <c r="J44" i="5" s="1"/>
  <c r="K44" i="5" s="1"/>
  <c r="I37" i="5"/>
  <c r="J37" i="5" s="1"/>
  <c r="K37" i="5" s="1"/>
  <c r="I43" i="5"/>
  <c r="J43" i="5" s="1"/>
  <c r="K43" i="5" s="1"/>
  <c r="I62" i="5"/>
  <c r="J62" i="5" s="1"/>
  <c r="K62" i="5" s="1"/>
  <c r="I61" i="5"/>
  <c r="J61" i="5" s="1"/>
  <c r="K61" i="5" s="1"/>
  <c r="I59" i="5"/>
  <c r="J59" i="5" s="1"/>
  <c r="K59" i="5" s="1"/>
  <c r="I50" i="5"/>
  <c r="J50" i="5" s="1"/>
  <c r="K50" i="5" s="1"/>
  <c r="I52" i="5"/>
  <c r="J52" i="5" s="1"/>
  <c r="K52" i="5" s="1"/>
  <c r="I11" i="5"/>
  <c r="J11" i="5" s="1"/>
  <c r="K11" i="5" s="1"/>
  <c r="I6" i="5"/>
  <c r="J6" i="5" s="1"/>
  <c r="K6" i="5" s="1"/>
  <c r="I23" i="5"/>
  <c r="J23" i="5" s="1"/>
  <c r="K23" i="5" s="1"/>
  <c r="I30" i="5"/>
  <c r="J30" i="5" s="1"/>
  <c r="K30" i="5" s="1"/>
  <c r="I25" i="5"/>
  <c r="J25" i="5" s="1"/>
  <c r="K25" i="5" s="1"/>
  <c r="I5" i="5"/>
  <c r="J5" i="5" s="1"/>
  <c r="K5" i="5" s="1"/>
  <c r="I48" i="5"/>
  <c r="J48" i="5" s="1"/>
  <c r="K48" i="5" s="1"/>
  <c r="I42" i="5"/>
  <c r="J42" i="5" s="1"/>
  <c r="K42" i="5" s="1"/>
  <c r="I4" i="5"/>
  <c r="J4" i="5" s="1"/>
  <c r="K4" i="5" s="1"/>
  <c r="I66" i="5"/>
  <c r="J66" i="5" s="1"/>
  <c r="K66" i="5" s="1"/>
  <c r="I73" i="5"/>
  <c r="J73" i="5" s="1"/>
  <c r="K73" i="5" s="1"/>
  <c r="I57" i="5"/>
  <c r="J57" i="5" s="1"/>
  <c r="K57" i="5" s="1"/>
  <c r="I68" i="5"/>
  <c r="J68" i="5" s="1"/>
  <c r="K68" i="5" s="1"/>
  <c r="I71" i="5"/>
  <c r="J71" i="5" s="1"/>
  <c r="K71" i="5" s="1"/>
  <c r="I55" i="5"/>
  <c r="J55" i="5" s="1"/>
  <c r="K55" i="5" s="1"/>
  <c r="I46" i="5"/>
  <c r="J46" i="5" s="1"/>
  <c r="K46" i="5" s="1"/>
  <c r="I7" i="5"/>
  <c r="J7" i="5" s="1"/>
  <c r="K7" i="5" s="1"/>
  <c r="I9" i="5"/>
  <c r="J9" i="5" s="1"/>
  <c r="K9" i="5" s="1"/>
  <c r="I26" i="5"/>
  <c r="J26" i="5" s="1"/>
  <c r="K26" i="5" s="1"/>
  <c r="I27" i="5"/>
  <c r="J27" i="5" s="1"/>
  <c r="K27" i="5" s="1"/>
  <c r="I32" i="5"/>
  <c r="J32" i="5" s="1"/>
  <c r="K32" i="5" s="1"/>
  <c r="I72" i="5"/>
  <c r="J72" i="5" s="1"/>
  <c r="K72" i="5" s="1"/>
  <c r="I56" i="5"/>
  <c r="J56" i="5" s="1"/>
  <c r="K56" i="5" s="1"/>
  <c r="I13" i="5"/>
  <c r="J13" i="5" s="1"/>
  <c r="K13" i="5" s="1"/>
  <c r="I14" i="5"/>
  <c r="J14" i="5" s="1"/>
  <c r="K14" i="5" s="1"/>
  <c r="I36" i="5"/>
  <c r="J36" i="5" s="1"/>
  <c r="K36" i="5" s="1"/>
  <c r="I35" i="5"/>
  <c r="J35" i="5" s="1"/>
  <c r="K35" i="5" s="1"/>
  <c r="I70" i="5"/>
  <c r="J70" i="5" s="1"/>
  <c r="K70" i="5" s="1"/>
  <c r="I58" i="5"/>
  <c r="J58" i="5" s="1"/>
  <c r="K58" i="5" s="1"/>
  <c r="I69" i="5"/>
  <c r="J69" i="5" s="1"/>
  <c r="K69" i="5" s="1"/>
  <c r="I64" i="5"/>
  <c r="J64" i="5" s="1"/>
  <c r="K64" i="5" s="1"/>
  <c r="I67" i="5"/>
  <c r="J67" i="5" s="1"/>
  <c r="K67" i="5" s="1"/>
  <c r="I53" i="5"/>
  <c r="J53" i="5" s="1"/>
  <c r="K53" i="5" s="1"/>
  <c r="I51" i="5"/>
  <c r="J51" i="5" s="1"/>
  <c r="K51" i="5" s="1"/>
  <c r="I22" i="5"/>
  <c r="J22" i="5" s="1"/>
  <c r="K22" i="5" s="1"/>
  <c r="I28" i="5"/>
  <c r="J28" i="5" s="1"/>
  <c r="K28" i="5" s="1"/>
  <c r="I41" i="5"/>
  <c r="J41" i="5" s="1"/>
  <c r="K41" i="5" s="1"/>
  <c r="I54" i="5"/>
  <c r="J54" i="5" s="1"/>
  <c r="K54" i="5" s="1"/>
  <c r="I65" i="5"/>
  <c r="J65" i="5" s="1"/>
  <c r="K65" i="5" s="1"/>
  <c r="I60" i="5"/>
  <c r="J60" i="5" s="1"/>
  <c r="K60" i="5" s="1"/>
  <c r="I63" i="5"/>
  <c r="J63" i="5" s="1"/>
  <c r="K63" i="5" s="1"/>
  <c r="I47" i="5"/>
  <c r="J47" i="5" s="1"/>
  <c r="K47" i="5" s="1"/>
  <c r="I10" i="5"/>
  <c r="J10" i="5" s="1"/>
  <c r="K10" i="5" s="1"/>
  <c r="I8" i="5"/>
  <c r="J8" i="5" s="1"/>
  <c r="K8" i="5" s="1"/>
  <c r="I31" i="5"/>
  <c r="J31" i="5" s="1"/>
  <c r="K31" i="5" s="1"/>
  <c r="I29" i="5"/>
  <c r="J29" i="5" s="1"/>
  <c r="K29" i="5" s="1"/>
  <c r="I24" i="5"/>
  <c r="J24" i="5" s="1"/>
  <c r="K24" i="5" s="1"/>
  <c r="J2" i="9"/>
  <c r="K2" i="9" s="1"/>
  <c r="K17" i="1" s="1"/>
  <c r="I2" i="5"/>
  <c r="J2" i="5" s="1"/>
  <c r="K2" i="5" s="1"/>
  <c r="C67" i="2"/>
  <c r="C66" i="2"/>
  <c r="G50" i="2"/>
  <c r="F50" i="2"/>
  <c r="G49" i="2"/>
  <c r="F49" i="2"/>
  <c r="G48" i="2"/>
  <c r="F48" i="2"/>
  <c r="G47" i="2"/>
  <c r="F47" i="2"/>
  <c r="D10" i="1" l="1"/>
  <c r="K9" i="1" s="1"/>
  <c r="Q10" i="1"/>
  <c r="K14" i="1"/>
  <c r="K12" i="1" s="1"/>
  <c r="Q11" i="1"/>
  <c r="Q8" i="1"/>
  <c r="Q9" i="1"/>
  <c r="H47" i="2"/>
  <c r="H49" i="2"/>
  <c r="H48" i="2"/>
  <c r="C64" i="2"/>
  <c r="H67" i="2"/>
  <c r="B23" i="2"/>
  <c r="C23" i="2" s="1"/>
  <c r="G7" i="2"/>
  <c r="G8" i="2"/>
  <c r="G9" i="2"/>
  <c r="G6" i="2"/>
  <c r="F9" i="2"/>
  <c r="F8" i="2"/>
  <c r="F7" i="2"/>
  <c r="F6" i="2"/>
  <c r="K18" i="1" l="1"/>
  <c r="K19" i="1" s="1"/>
  <c r="K7" i="1"/>
  <c r="L9" i="1"/>
  <c r="L14" i="1"/>
  <c r="L13" i="1"/>
  <c r="K15" i="1" s="1"/>
  <c r="C63" i="2"/>
  <c r="C65" i="2"/>
  <c r="H66" i="2" s="1"/>
  <c r="H7" i="2"/>
  <c r="H8" i="2"/>
  <c r="H6" i="2"/>
  <c r="K5" i="11" l="1"/>
  <c r="L5" i="11" s="1"/>
  <c r="L8" i="11" s="1"/>
  <c r="K20" i="1" s="1"/>
  <c r="L8" i="1"/>
  <c r="H65" i="2"/>
  <c r="C61" i="2"/>
  <c r="C62" i="2"/>
  <c r="H64" i="2"/>
  <c r="B22" i="2"/>
  <c r="C22" i="2" s="1"/>
  <c r="H62" i="2" l="1"/>
  <c r="D62" i="2"/>
  <c r="G62" i="2" s="1"/>
  <c r="H63" i="2"/>
  <c r="H23" i="2"/>
  <c r="B21" i="2"/>
  <c r="C21" i="2" s="1"/>
  <c r="D63" i="2" l="1"/>
  <c r="E62" i="2"/>
  <c r="F62" i="2" s="1"/>
  <c r="H22" i="2"/>
  <c r="B20" i="2"/>
  <c r="C20" i="2" s="1"/>
  <c r="E63" i="2" l="1"/>
  <c r="F63" i="2" s="1"/>
  <c r="G63" i="2"/>
  <c r="D64" i="2"/>
  <c r="I62" i="2"/>
  <c r="D65" i="2"/>
  <c r="H21" i="2"/>
  <c r="B19" i="2"/>
  <c r="C19" i="2" s="1"/>
  <c r="E65" i="2" l="1"/>
  <c r="F65" i="2" s="1"/>
  <c r="E64" i="2"/>
  <c r="F64" i="2" s="1"/>
  <c r="D66" i="2"/>
  <c r="H20" i="2"/>
  <c r="B18" i="2"/>
  <c r="C18" i="2" s="1"/>
  <c r="H19" i="2" s="1"/>
  <c r="G65" i="2" l="1"/>
  <c r="G64" i="2"/>
  <c r="E66" i="2"/>
  <c r="F66" i="2" s="1"/>
  <c r="G66" i="2" s="1"/>
  <c r="D67" i="2"/>
  <c r="B17" i="2"/>
  <c r="C17" i="2" s="1"/>
  <c r="E67" i="2" l="1"/>
  <c r="F67" i="2" s="1"/>
  <c r="G67" i="2" s="1"/>
  <c r="I67" i="2" s="1"/>
  <c r="L62" i="2"/>
  <c r="H18" i="2"/>
  <c r="D18" i="2"/>
  <c r="G18" i="2" l="1"/>
  <c r="B27" i="2"/>
  <c r="I64" i="2"/>
  <c r="L64" i="2" s="1"/>
  <c r="I66" i="2"/>
  <c r="L67" i="2"/>
  <c r="E18" i="2"/>
  <c r="D19" i="2"/>
  <c r="B28" i="2" s="1"/>
  <c r="I18" i="2" l="1"/>
  <c r="I65" i="2"/>
  <c r="L65" i="2" s="1"/>
  <c r="I63" i="2"/>
  <c r="L63" i="2" s="1"/>
  <c r="L66" i="2"/>
  <c r="F18" i="2"/>
  <c r="E19" i="2"/>
  <c r="F19" i="2" s="1"/>
  <c r="D20" i="2"/>
  <c r="B29" i="2" s="1"/>
  <c r="K47" i="2" l="1"/>
  <c r="G19" i="2"/>
  <c r="E20" i="2"/>
  <c r="F20" i="2" s="1"/>
  <c r="G20" i="2" s="1"/>
  <c r="L18" i="2"/>
  <c r="D21" i="2"/>
  <c r="B30" i="2" s="1"/>
  <c r="I19" i="2" l="1"/>
  <c r="L19" i="2" s="1"/>
  <c r="I20" i="2"/>
  <c r="L20" i="2" s="1"/>
  <c r="E21" i="2"/>
  <c r="F21" i="2" s="1"/>
  <c r="D22" i="2"/>
  <c r="B31" i="2" s="1"/>
  <c r="G21" i="2" l="1"/>
  <c r="E22" i="2"/>
  <c r="F22" i="2" s="1"/>
  <c r="D23" i="2"/>
  <c r="B32" i="2" s="1"/>
  <c r="I21" i="2" l="1"/>
  <c r="L21" i="2" s="1"/>
  <c r="G22" i="2"/>
  <c r="E23" i="2"/>
  <c r="F23" i="2" s="1"/>
  <c r="G23" i="2" s="1"/>
  <c r="I22" i="2" l="1"/>
  <c r="L22" i="2" s="1"/>
  <c r="I23" i="2"/>
  <c r="L23" i="2" s="1"/>
  <c r="K6" i="2" l="1"/>
  <c r="K7" i="2" s="1"/>
  <c r="C27" i="2" s="1"/>
  <c r="M22" i="2" l="1"/>
  <c r="M19" i="2"/>
  <c r="C28" i="2"/>
  <c r="M18" i="2"/>
  <c r="C30" i="2"/>
  <c r="C29" i="2"/>
  <c r="M21" i="2"/>
  <c r="M20" i="2"/>
  <c r="C32" i="2"/>
  <c r="M23" i="2"/>
  <c r="C31" i="2"/>
  <c r="K8" i="2" l="1"/>
</calcChain>
</file>

<file path=xl/sharedStrings.xml><?xml version="1.0" encoding="utf-8"?>
<sst xmlns="http://schemas.openxmlformats.org/spreadsheetml/2006/main" count="329" uniqueCount="152">
  <si>
    <t>1m JIBAR</t>
  </si>
  <si>
    <t>3m JIBAR</t>
  </si>
  <si>
    <t>6m JIBAR</t>
  </si>
  <si>
    <t>Value date</t>
  </si>
  <si>
    <t>Maturity date</t>
  </si>
  <si>
    <t>Nominal</t>
  </si>
  <si>
    <t>Floating rate spread</t>
  </si>
  <si>
    <t>Inputs</t>
  </si>
  <si>
    <t>Coupon rate</t>
  </si>
  <si>
    <t>Tenor</t>
  </si>
  <si>
    <t>1m</t>
  </si>
  <si>
    <t>3m</t>
  </si>
  <si>
    <t>6m</t>
  </si>
  <si>
    <t>Date</t>
  </si>
  <si>
    <t>Adjusted date</t>
  </si>
  <si>
    <t>Spot rate</t>
  </si>
  <si>
    <t>Overnight rate</t>
  </si>
  <si>
    <t>1d</t>
  </si>
  <si>
    <t>Slope</t>
  </si>
  <si>
    <t>Discount factor</t>
  </si>
  <si>
    <t>Payment</t>
  </si>
  <si>
    <t>Floating rate</t>
  </si>
  <si>
    <t>Outputs</t>
  </si>
  <si>
    <t>Floating cashflow</t>
  </si>
  <si>
    <t>Fixed cashflow</t>
  </si>
  <si>
    <t>Year frac</t>
  </si>
  <si>
    <t>Net cashflow PV with spread</t>
  </si>
  <si>
    <t>NPV no spread</t>
  </si>
  <si>
    <t>NPV with spread</t>
  </si>
  <si>
    <t>Net cashflow PV no spread</t>
  </si>
  <si>
    <t>Floating rate spread of zero-coupon swap</t>
  </si>
  <si>
    <t>TIKKUN Investment Model</t>
  </si>
  <si>
    <t>Value of zero-coupon swap</t>
  </si>
  <si>
    <t>Remaining payment</t>
  </si>
  <si>
    <t>Net cashflow PV</t>
  </si>
  <si>
    <t>Previous reset date</t>
  </si>
  <si>
    <t>Previous 1m JIBAR</t>
  </si>
  <si>
    <t>NPV</t>
  </si>
  <si>
    <t>ID</t>
  </si>
  <si>
    <t>Code</t>
  </si>
  <si>
    <t>Term (y)</t>
  </si>
  <si>
    <t>Swap start date</t>
  </si>
  <si>
    <t>Swap maturity date</t>
  </si>
  <si>
    <t>R204</t>
  </si>
  <si>
    <t>Coupon date 1</t>
  </si>
  <si>
    <t>Coupon date 2</t>
  </si>
  <si>
    <t>SA public holidays</t>
  </si>
  <si>
    <t>1-month JIBAR</t>
  </si>
  <si>
    <t>3-month JIBAR</t>
  </si>
  <si>
    <t>6-month JIBAR</t>
  </si>
  <si>
    <t>Type</t>
  </si>
  <si>
    <t>Re-based CPI</t>
  </si>
  <si>
    <t>Base CPI</t>
  </si>
  <si>
    <t>V</t>
  </si>
  <si>
    <t/>
  </si>
  <si>
    <t>R207</t>
  </si>
  <si>
    <t>R208</t>
  </si>
  <si>
    <t>R2023</t>
  </si>
  <si>
    <t>R186</t>
  </si>
  <si>
    <t>R2030</t>
  </si>
  <si>
    <t>R213</t>
  </si>
  <si>
    <t>R2032</t>
  </si>
  <si>
    <t>R2035</t>
  </si>
  <si>
    <t>R209</t>
  </si>
  <si>
    <t>R2037</t>
  </si>
  <si>
    <t>R2040</t>
  </si>
  <si>
    <t>R214</t>
  </si>
  <si>
    <t>R2044</t>
  </si>
  <si>
    <t>R2048</t>
  </si>
  <si>
    <t>R212</t>
  </si>
  <si>
    <t>CPI</t>
  </si>
  <si>
    <t>R197</t>
  </si>
  <si>
    <t>R210</t>
  </si>
  <si>
    <t>R202</t>
  </si>
  <si>
    <t>Bond code</t>
  </si>
  <si>
    <t>Issue date</t>
  </si>
  <si>
    <t>Coupon month 1</t>
  </si>
  <si>
    <t>Coupon day 1</t>
  </si>
  <si>
    <t>Coupon month 2</t>
  </si>
  <si>
    <t>Coupon day 2</t>
  </si>
  <si>
    <t>Portfolio</t>
  </si>
  <si>
    <t>Bond portfolio</t>
  </si>
  <si>
    <t>Avg coupon</t>
  </si>
  <si>
    <t>Swap start date unadjusted</t>
  </si>
  <si>
    <t>Fixed rate</t>
  </si>
  <si>
    <t>Month</t>
  </si>
  <si>
    <t>Floating rate per period</t>
  </si>
  <si>
    <t>Fixed rate per period</t>
  </si>
  <si>
    <t>Floating spread</t>
  </si>
  <si>
    <t>Reset date</t>
  </si>
  <si>
    <t>Payment date</t>
  </si>
  <si>
    <t>Floating rate (1m JIBAR + spread)</t>
  </si>
  <si>
    <t>Interest</t>
  </si>
  <si>
    <t>Input months</t>
  </si>
  <si>
    <t>Opening cash</t>
  </si>
  <si>
    <t>Status</t>
  </si>
  <si>
    <t>Amount</t>
  </si>
  <si>
    <t>%</t>
  </si>
  <si>
    <t>Opening total</t>
  </si>
  <si>
    <t>Opening bonds</t>
  </si>
  <si>
    <t>Closing total</t>
  </si>
  <si>
    <t>Closing cash</t>
  </si>
  <si>
    <t>Closing bonds</t>
  </si>
  <si>
    <t>Interest received</t>
  </si>
  <si>
    <t>Fees</t>
  </si>
  <si>
    <t>Interest issued</t>
  </si>
  <si>
    <t>Coin interest rate</t>
  </si>
  <si>
    <t>Deposits</t>
  </si>
  <si>
    <t>Withdraws</t>
  </si>
  <si>
    <t>Day</t>
  </si>
  <si>
    <t>Days in month</t>
  </si>
  <si>
    <t>Time held - Deposits</t>
  </si>
  <si>
    <t>Month frac - Deposits</t>
  </si>
  <si>
    <t>Month frac - Withdraws</t>
  </si>
  <si>
    <t>Transaction</t>
  </si>
  <si>
    <t>Time-weighted amount</t>
  </si>
  <si>
    <t>Fee % (p.a.)</t>
  </si>
  <si>
    <t>V - Short (1-5y)</t>
  </si>
  <si>
    <t>V - Medium (6-10y)</t>
  </si>
  <si>
    <t>V - Long (11+y)</t>
  </si>
  <si>
    <t>Change in total coin</t>
  </si>
  <si>
    <t xml:space="preserve">&lt;- Insert daily deposits </t>
  </si>
  <si>
    <t xml:space="preserve">     and withdraws</t>
  </si>
  <si>
    <t>&lt;- Select month</t>
  </si>
  <si>
    <t>&lt;- Enter Consumer Price Index</t>
  </si>
  <si>
    <t>&lt;- Enter opening amount of cash</t>
  </si>
  <si>
    <t>&lt;- Enter opening amount of bonds</t>
  </si>
  <si>
    <t>&lt;- Enter annual fee % of bonds</t>
  </si>
  <si>
    <t>Time not held - Withdraws</t>
  </si>
  <si>
    <t>1. Portfolio</t>
  </si>
  <si>
    <t>2. Transactions</t>
  </si>
  <si>
    <t>3a. Bond data V</t>
  </si>
  <si>
    <t>3b. Bond data CPI</t>
  </si>
  <si>
    <t>4. Swap calculations</t>
  </si>
  <si>
    <t>5a. Bond info</t>
  </si>
  <si>
    <t>5b. Spot rates</t>
  </si>
  <si>
    <t>5c. Ranges</t>
  </si>
  <si>
    <t>List of input months.</t>
  </si>
  <si>
    <t>List of SA public holidays is used in finding business days.</t>
  </si>
  <si>
    <t>View and add JIBAR interest rates.</t>
  </si>
  <si>
    <t>View list of SA government bonds - Vanilla and CPI.</t>
  </si>
  <si>
    <t>View active vanilla bonds in portfolio.</t>
  </si>
  <si>
    <t>View active CPI bonds in portfolio.</t>
  </si>
  <si>
    <t>Input total daily deposits and withdrawals. View updated portfolio and check if it is balanced.</t>
  </si>
  <si>
    <t>This model describes the mechanics underlying the Tikkun coin investment portfolio. Please refer to the business model documentation for further details.</t>
  </si>
  <si>
    <t>Calculate a time-weighted balance used in the estimation of a single interest rate. This is a total balance of coin held within the month that is weighted by the fractions of the month that the coins were held for.</t>
  </si>
  <si>
    <t>Calculate the interest expected from the bonds in the specified month, deduct management fees, and convert the remainder interest into a coin interest rate that is distributable across all coins held in the month.</t>
  </si>
  <si>
    <t>The present value of a swap can be calculated if the bond needs to be sold and swap terminated.</t>
  </si>
  <si>
    <t>Table of contents</t>
  </si>
  <si>
    <t xml:space="preserve">Start each month with a balanced cash and bond portfolio. The bond portfolio consists of SA government vanilla and CPI bonds. The total portfolio is balanced if it is 17-22% cash. (The default values in this example are 80mil bonds and 20mil cash.)
</t>
  </si>
  <si>
    <t>A bond coupon received semi-annually is exchanged for monthly interest based on JIBAR in the form of a zero-coupon swap. A floating spread is calculated and added to the interest payments to ensure that the swap's value at origination is fair.</t>
  </si>
  <si>
    <t>Go to "Value of zero-coupon swap"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</si>
</sst>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00"/>
    <numFmt numFmtId="165" formatCode="0.000%"/>
    <numFmt numFmtId="166" formatCode="0.00000000"/>
    <numFmt numFmtId="167" formatCode="_-* #,##0_-;\-* #,##0_-;_-* &quot;-&quot;??_-;_-@_-"/>
    <numFmt numFmtId="168" formatCode="yyyy/mm/dd;@"/>
    <numFmt numFmtId="169" formatCode="0.0%"/>
    <numFmt numFmtId="170" formatCode="mmm/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rgb="FF993300"/>
      <name val="Calibri"/>
      <family val="2"/>
      <scheme val="minor"/>
    </font>
    <font>
      <b/>
      <sz val="12"/>
      <color rgb="FF993300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theme="7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>
      <alignment vertical="top"/>
    </xf>
    <xf numFmtId="0" fontId="4" fillId="0" borderId="0"/>
    <xf numFmtId="0" fontId="14" fillId="0" borderId="0" applyNumberFormat="0" applyFill="0" applyBorder="0" applyAlignment="0" applyProtection="0"/>
  </cellStyleXfs>
  <cellXfs count="106">
    <xf numFmtId="0" fontId="0" fillId="0" borderId="0" xfId="0"/>
    <xf numFmtId="2" fontId="0" fillId="0" borderId="0" xfId="0" applyNumberFormat="1"/>
    <xf numFmtId="14" fontId="0" fillId="0" borderId="0" xfId="0" applyNumberFormat="1"/>
    <xf numFmtId="9" fontId="0" fillId="0" borderId="0" xfId="0" applyNumberFormat="1"/>
    <xf numFmtId="165" fontId="0" fillId="0" borderId="0" xfId="2" applyNumberFormat="1" applyFont="1"/>
    <xf numFmtId="0" fontId="0" fillId="0" borderId="0" xfId="0" applyAlignment="1">
      <alignment wrapText="1"/>
    </xf>
    <xf numFmtId="3" fontId="0" fillId="0" borderId="0" xfId="1" applyNumberFormat="1" applyFont="1"/>
    <xf numFmtId="0" fontId="0" fillId="0" borderId="0" xfId="0" applyFill="1"/>
    <xf numFmtId="0" fontId="0" fillId="0" borderId="5" xfId="0" applyBorder="1"/>
    <xf numFmtId="14" fontId="0" fillId="2" borderId="10" xfId="0" applyNumberFormat="1" applyFill="1" applyBorder="1"/>
    <xf numFmtId="14" fontId="0" fillId="2" borderId="11" xfId="0" applyNumberFormat="1" applyFill="1" applyBorder="1"/>
    <xf numFmtId="0" fontId="2" fillId="2" borderId="9" xfId="0" applyFont="1" applyFill="1" applyBorder="1"/>
    <xf numFmtId="165" fontId="0" fillId="3" borderId="1" xfId="2" applyNumberFormat="1" applyFont="1" applyFill="1" applyBorder="1"/>
    <xf numFmtId="14" fontId="0" fillId="3" borderId="1" xfId="0" applyNumberFormat="1" applyFill="1" applyBorder="1"/>
    <xf numFmtId="3" fontId="0" fillId="3" borderId="1" xfId="1" applyNumberFormat="1" applyFont="1" applyFill="1" applyBorder="1"/>
    <xf numFmtId="165" fontId="0" fillId="3" borderId="1" xfId="0" applyNumberFormat="1" applyFill="1" applyBorder="1"/>
    <xf numFmtId="0" fontId="6" fillId="0" borderId="0" xfId="0" applyFont="1" applyFill="1"/>
    <xf numFmtId="170" fontId="6" fillId="0" borderId="0" xfId="0" applyNumberFormat="1" applyFont="1" applyFill="1" applyBorder="1"/>
    <xf numFmtId="0" fontId="6" fillId="0" borderId="0" xfId="0" applyFont="1" applyFill="1" applyBorder="1"/>
    <xf numFmtId="3" fontId="6" fillId="0" borderId="0" xfId="0" applyNumberFormat="1" applyFont="1" applyFill="1" applyBorder="1"/>
    <xf numFmtId="167" fontId="6" fillId="0" borderId="0" xfId="1" applyNumberFormat="1" applyFont="1" applyFill="1" applyBorder="1"/>
    <xf numFmtId="169" fontId="6" fillId="0" borderId="0" xfId="0" applyNumberFormat="1" applyFont="1" applyFill="1" applyBorder="1"/>
    <xf numFmtId="0" fontId="2" fillId="0" borderId="0" xfId="0" applyFont="1" applyFill="1" applyBorder="1"/>
    <xf numFmtId="167" fontId="0" fillId="0" borderId="0" xfId="1" applyNumberFormat="1" applyFont="1" applyFill="1" applyBorder="1"/>
    <xf numFmtId="0" fontId="0" fillId="0" borderId="0" xfId="0" applyBorder="1" applyAlignment="1">
      <alignment vertical="top"/>
    </xf>
    <xf numFmtId="0" fontId="0" fillId="0" borderId="0" xfId="0" applyBorder="1"/>
    <xf numFmtId="0" fontId="9" fillId="4" borderId="9" xfId="0" applyFont="1" applyFill="1" applyBorder="1"/>
    <xf numFmtId="0" fontId="0" fillId="4" borderId="0" xfId="0" applyFill="1"/>
    <xf numFmtId="0" fontId="0" fillId="4" borderId="0" xfId="0" applyFill="1" applyAlignment="1"/>
    <xf numFmtId="0" fontId="10" fillId="4" borderId="0" xfId="0" applyFont="1" applyFill="1" applyAlignment="1"/>
    <xf numFmtId="0" fontId="7" fillId="4" borderId="1" xfId="0" applyFont="1" applyFill="1" applyBorder="1" applyAlignment="1">
      <alignment wrapText="1"/>
    </xf>
    <xf numFmtId="0" fontId="7" fillId="4" borderId="1" xfId="0" applyFont="1" applyFill="1" applyBorder="1" applyAlignment="1"/>
    <xf numFmtId="0" fontId="7" fillId="3" borderId="1" xfId="0" applyFont="1" applyFill="1" applyBorder="1" applyAlignment="1">
      <alignment wrapText="1"/>
    </xf>
    <xf numFmtId="0" fontId="7" fillId="3" borderId="1" xfId="0" applyFont="1" applyFill="1" applyBorder="1"/>
    <xf numFmtId="0" fontId="8" fillId="4" borderId="8" xfId="0" applyFont="1" applyFill="1" applyBorder="1"/>
    <xf numFmtId="0" fontId="11" fillId="4" borderId="7" xfId="0" applyFont="1" applyFill="1" applyBorder="1" applyAlignment="1"/>
    <xf numFmtId="0" fontId="8" fillId="4" borderId="3" xfId="0" applyFont="1" applyFill="1" applyBorder="1"/>
    <xf numFmtId="0" fontId="8" fillId="4" borderId="4" xfId="0" applyFont="1" applyFill="1" applyBorder="1"/>
    <xf numFmtId="0" fontId="11" fillId="4" borderId="2" xfId="0" applyFont="1" applyFill="1" applyBorder="1" applyAlignment="1"/>
    <xf numFmtId="0" fontId="7" fillId="4" borderId="1" xfId="0" applyFont="1" applyFill="1" applyBorder="1"/>
    <xf numFmtId="0" fontId="11" fillId="4" borderId="2" xfId="0" applyFont="1" applyFill="1" applyBorder="1"/>
    <xf numFmtId="0" fontId="7" fillId="4" borderId="7" xfId="0" applyFont="1" applyFill="1" applyBorder="1"/>
    <xf numFmtId="0" fontId="7" fillId="4" borderId="8" xfId="0" applyFont="1" applyFill="1" applyBorder="1" applyAlignment="1">
      <alignment wrapText="1"/>
    </xf>
    <xf numFmtId="0" fontId="5" fillId="5" borderId="1" xfId="0" applyFont="1" applyFill="1" applyBorder="1"/>
    <xf numFmtId="3" fontId="6" fillId="5" borderId="1" xfId="0" applyNumberFormat="1" applyFont="1" applyFill="1" applyBorder="1"/>
    <xf numFmtId="0" fontId="6" fillId="5" borderId="1" xfId="0" applyFont="1" applyFill="1" applyBorder="1"/>
    <xf numFmtId="169" fontId="6" fillId="5" borderId="1" xfId="2" applyNumberFormat="1" applyFont="1" applyFill="1" applyBorder="1"/>
    <xf numFmtId="0" fontId="6" fillId="5" borderId="7" xfId="0" applyFont="1" applyFill="1" applyBorder="1"/>
    <xf numFmtId="0" fontId="6" fillId="5" borderId="15" xfId="0" applyFont="1" applyFill="1" applyBorder="1"/>
    <xf numFmtId="0" fontId="6" fillId="5" borderId="8" xfId="0" applyFont="1" applyFill="1" applyBorder="1"/>
    <xf numFmtId="169" fontId="6" fillId="5" borderId="1" xfId="0" applyNumberFormat="1" applyFont="1" applyFill="1" applyBorder="1"/>
    <xf numFmtId="170" fontId="6" fillId="5" borderId="1" xfId="0" applyNumberFormat="1" applyFont="1" applyFill="1" applyBorder="1"/>
    <xf numFmtId="165" fontId="6" fillId="5" borderId="1" xfId="2" applyNumberFormat="1" applyFont="1" applyFill="1" applyBorder="1"/>
    <xf numFmtId="0" fontId="0" fillId="5" borderId="1" xfId="0" applyFill="1" applyBorder="1"/>
    <xf numFmtId="167" fontId="0" fillId="5" borderId="1" xfId="1" applyNumberFormat="1" applyFont="1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6" xfId="0" applyFill="1" applyBorder="1"/>
    <xf numFmtId="0" fontId="0" fillId="5" borderId="19" xfId="0" applyFill="1" applyBorder="1"/>
    <xf numFmtId="0" fontId="2" fillId="5" borderId="9" xfId="0" applyFont="1" applyFill="1" applyBorder="1" applyAlignment="1">
      <alignment vertical="top"/>
    </xf>
    <xf numFmtId="0" fontId="0" fillId="5" borderId="9" xfId="0" applyFill="1" applyBorder="1" applyAlignment="1">
      <alignment vertical="top" wrapText="1"/>
    </xf>
    <xf numFmtId="0" fontId="0" fillId="5" borderId="10" xfId="0" applyFill="1" applyBorder="1"/>
    <xf numFmtId="0" fontId="0" fillId="5" borderId="10" xfId="0" applyFill="1" applyBorder="1" applyAlignment="1">
      <alignment wrapText="1"/>
    </xf>
    <xf numFmtId="0" fontId="0" fillId="5" borderId="10" xfId="0" applyFill="1" applyBorder="1" applyAlignment="1">
      <alignment vertical="top" wrapText="1"/>
    </xf>
    <xf numFmtId="0" fontId="0" fillId="5" borderId="11" xfId="0" applyFill="1" applyBorder="1"/>
    <xf numFmtId="0" fontId="0" fillId="5" borderId="11" xfId="0" applyFill="1" applyBorder="1" applyAlignment="1">
      <alignment vertical="top" wrapText="1"/>
    </xf>
    <xf numFmtId="0" fontId="0" fillId="5" borderId="11" xfId="0" applyFill="1" applyBorder="1" applyAlignment="1">
      <alignment vertical="top"/>
    </xf>
    <xf numFmtId="0" fontId="0" fillId="5" borderId="9" xfId="0" applyFill="1" applyBorder="1"/>
    <xf numFmtId="0" fontId="0" fillId="5" borderId="9" xfId="0" applyFill="1" applyBorder="1" applyAlignment="1">
      <alignment wrapText="1"/>
    </xf>
    <xf numFmtId="0" fontId="0" fillId="5" borderId="10" xfId="0" applyFill="1" applyBorder="1" applyAlignment="1">
      <alignment vertical="top"/>
    </xf>
    <xf numFmtId="0" fontId="2" fillId="5" borderId="11" xfId="0" applyFont="1" applyFill="1" applyBorder="1" applyAlignment="1">
      <alignment vertical="top"/>
    </xf>
    <xf numFmtId="14" fontId="0" fillId="5" borderId="1" xfId="0" applyNumberFormat="1" applyFill="1" applyBorder="1"/>
    <xf numFmtId="167" fontId="0" fillId="5" borderId="1" xfId="1" applyNumberFormat="1" applyFont="1" applyFill="1" applyBorder="1" applyAlignment="1"/>
    <xf numFmtId="164" fontId="0" fillId="5" borderId="1" xfId="0" applyNumberFormat="1" applyFill="1" applyBorder="1"/>
    <xf numFmtId="0" fontId="2" fillId="5" borderId="1" xfId="0" applyFont="1" applyFill="1" applyBorder="1"/>
    <xf numFmtId="3" fontId="0" fillId="5" borderId="1" xfId="0" applyNumberFormat="1" applyFill="1" applyBorder="1"/>
    <xf numFmtId="49" fontId="0" fillId="5" borderId="1" xfId="0" applyNumberFormat="1" applyFill="1" applyBorder="1"/>
    <xf numFmtId="165" fontId="0" fillId="5" borderId="1" xfId="2" applyNumberFormat="1" applyFont="1" applyFill="1" applyBorder="1"/>
    <xf numFmtId="2" fontId="0" fillId="5" borderId="1" xfId="0" applyNumberFormat="1" applyFill="1" applyBorder="1"/>
    <xf numFmtId="165" fontId="0" fillId="5" borderId="1" xfId="0" applyNumberFormat="1" applyFill="1" applyBorder="1"/>
    <xf numFmtId="166" fontId="0" fillId="5" borderId="1" xfId="0" applyNumberFormat="1" applyFill="1" applyBorder="1"/>
    <xf numFmtId="3" fontId="0" fillId="5" borderId="1" xfId="1" applyNumberFormat="1" applyFont="1" applyFill="1" applyBorder="1"/>
    <xf numFmtId="0" fontId="0" fillId="5" borderId="1" xfId="0" applyNumberFormat="1" applyFill="1" applyBorder="1"/>
    <xf numFmtId="164" fontId="0" fillId="5" borderId="1" xfId="2" applyNumberFormat="1" applyFont="1" applyFill="1" applyBorder="1"/>
    <xf numFmtId="14" fontId="0" fillId="5" borderId="7" xfId="0" applyNumberFormat="1" applyFill="1" applyBorder="1"/>
    <xf numFmtId="165" fontId="0" fillId="5" borderId="9" xfId="2" applyNumberFormat="1" applyFont="1" applyFill="1" applyBorder="1"/>
    <xf numFmtId="14" fontId="0" fillId="5" borderId="9" xfId="0" applyNumberFormat="1" applyFill="1" applyBorder="1"/>
    <xf numFmtId="14" fontId="0" fillId="5" borderId="12" xfId="0" applyNumberFormat="1" applyFill="1" applyBorder="1"/>
    <xf numFmtId="0" fontId="0" fillId="5" borderId="6" xfId="0" applyFill="1" applyBorder="1"/>
    <xf numFmtId="165" fontId="0" fillId="5" borderId="6" xfId="2" applyNumberFormat="1" applyFont="1" applyFill="1" applyBorder="1"/>
    <xf numFmtId="14" fontId="0" fillId="5" borderId="6" xfId="0" applyNumberFormat="1" applyFill="1" applyBorder="1"/>
    <xf numFmtId="2" fontId="0" fillId="5" borderId="6" xfId="0" applyNumberFormat="1" applyFill="1" applyBorder="1"/>
    <xf numFmtId="0" fontId="0" fillId="5" borderId="8" xfId="0" applyNumberFormat="1" applyFill="1" applyBorder="1"/>
    <xf numFmtId="0" fontId="0" fillId="5" borderId="13" xfId="0" applyNumberFormat="1" applyFill="1" applyBorder="1"/>
    <xf numFmtId="0" fontId="0" fillId="5" borderId="9" xfId="0" applyNumberFormat="1" applyFill="1" applyBorder="1"/>
    <xf numFmtId="0" fontId="0" fillId="5" borderId="6" xfId="0" applyNumberFormat="1" applyFill="1" applyBorder="1"/>
    <xf numFmtId="0" fontId="0" fillId="5" borderId="14" xfId="0" applyNumberFormat="1" applyFill="1" applyBorder="1"/>
    <xf numFmtId="168" fontId="0" fillId="5" borderId="1" xfId="0" applyNumberFormat="1" applyFill="1" applyBorder="1"/>
    <xf numFmtId="170" fontId="0" fillId="5" borderId="1" xfId="0" applyNumberFormat="1" applyFill="1" applyBorder="1"/>
    <xf numFmtId="0" fontId="12" fillId="0" borderId="0" xfId="0" applyFont="1" applyFill="1"/>
    <xf numFmtId="0" fontId="12" fillId="0" borderId="0" xfId="0" applyFont="1" applyFill="1" applyBorder="1"/>
    <xf numFmtId="0" fontId="14" fillId="0" borderId="0" xfId="5" quotePrefix="1" applyFill="1"/>
    <xf numFmtId="0" fontId="0" fillId="5" borderId="18" xfId="0" applyFill="1" applyBorder="1" applyAlignment="1">
      <alignment vertical="top" wrapText="1"/>
    </xf>
    <xf numFmtId="0" fontId="0" fillId="5" borderId="17" xfId="0" applyFill="1" applyBorder="1" applyAlignment="1">
      <alignment vertical="top" wrapText="1"/>
    </xf>
    <xf numFmtId="0" fontId="5" fillId="5" borderId="7" xfId="0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</cellXfs>
  <cellStyles count="6">
    <cellStyle name="Comma" xfId="1" builtinId="3"/>
    <cellStyle name="Hyperlink" xfId="5" builtinId="8"/>
    <cellStyle name="Normal" xfId="0" builtinId="0"/>
    <cellStyle name="Normal 2" xfId="3" xr:uid="{00000000-0005-0000-0000-000002000000}"/>
    <cellStyle name="Normal 3" xfId="4" xr:uid="{00000000-0005-0000-0000-000003000000}"/>
    <cellStyle name="Percent" xfId="2" builtinId="5"/>
  </cellStyles>
  <dxfs count="2">
    <dxf>
      <font>
        <b/>
        <i val="0"/>
        <color auto="1"/>
      </font>
      <fill>
        <patternFill>
          <bgColor rgb="FF00B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3300"/>
      <color rgb="FF663300"/>
      <color rgb="FFCC6600"/>
      <color rgb="FFF4511E"/>
      <color rgb="FFDAB420"/>
      <color rgb="FFFFCC00"/>
      <color rgb="FFFFFF99"/>
      <color rgb="FFDAA520"/>
      <color rgb="FF556B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ZA" b="1">
                <a:solidFill>
                  <a:sysClr val="windowText" lastClr="000000"/>
                </a:solidFill>
              </a:rPr>
              <a:t>Example</a:t>
            </a:r>
            <a:r>
              <a:rPr lang="en-ZA" b="1" baseline="0">
                <a:solidFill>
                  <a:sysClr val="windowText" lastClr="000000"/>
                </a:solidFill>
              </a:rPr>
              <a:t> of zero-coupon swap</a:t>
            </a:r>
            <a:endParaRPr lang="en-ZA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'4. Swap calculations'!$C$26</c:f>
              <c:strCache>
                <c:ptCount val="1"/>
                <c:pt idx="0">
                  <c:v>Floating rate per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'4. Swap calculations'!$B$27:$B$32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'4. Swap calculations'!$C$27:$C$32</c:f>
              <c:numCache>
                <c:formatCode>0.000%</c:formatCode>
                <c:ptCount val="6"/>
                <c:pt idx="0">
                  <c:v>5.3055388085071148E-3</c:v>
                </c:pt>
                <c:pt idx="1">
                  <c:v>6.0168005748133446E-3</c:v>
                </c:pt>
                <c:pt idx="2">
                  <c:v>5.2354346117716756E-3</c:v>
                </c:pt>
                <c:pt idx="3">
                  <c:v>6.1799838185098771E-3</c:v>
                </c:pt>
                <c:pt idx="4">
                  <c:v>6.8842968659179517E-3</c:v>
                </c:pt>
                <c:pt idx="5">
                  <c:v>6.0737289876172697E-3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C-4A61-8CB3-0254C81E9E9C}"/>
            </c:ext>
          </c:extLst>
        </c:ser>
        <c:ser>
          <c:idx val="1"/>
          <c:order val="1"/>
          <c:tx>
            <c:strRef>
              <c:f>'4. Swap calculations'!$D$26</c:f>
              <c:strCache>
                <c:ptCount val="1"/>
                <c:pt idx="0">
                  <c:v>Fixed rate per period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'4. Swap calculations'!$B$27:$B$32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'4. Swap calculations'!$D$27:$D$32</c:f>
              <c:numCache>
                <c:formatCode>0.000%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3.6249999999999998E-2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9C-4A61-8CB3-0254C81E9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7895792"/>
        <c:axId val="307896352"/>
      </c:barChart>
      <c:catAx>
        <c:axId val="307895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Payment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896352"/>
        <c:crosses val="autoZero"/>
        <c:auto val="1"/>
        <c:lblAlgn val="ctr"/>
        <c:lblOffset val="100"/>
        <c:noMultiLvlLbl val="0"/>
      </c:catAx>
      <c:valAx>
        <c:axId val="30789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89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243840</xdr:colOff>
          <xdr:row>16</xdr:row>
          <xdr:rowOff>106680</xdr:rowOff>
        </xdr:from>
        <xdr:to>
          <xdr:col>6</xdr:col>
          <xdr:colOff>746760</xdr:colOff>
          <xdr:row>19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2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CALCULATE INTEREST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807720</xdr:colOff>
      <xdr:row>1</xdr:row>
      <xdr:rowOff>99060</xdr:rowOff>
    </xdr:from>
    <xdr:to>
      <xdr:col>15</xdr:col>
      <xdr:colOff>952500</xdr:colOff>
      <xdr:row>1</xdr:row>
      <xdr:rowOff>403860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103620" y="281940"/>
          <a:ext cx="6172200" cy="304800"/>
        </a:xfrm>
        <a:prstGeom prst="rect">
          <a:avLst/>
        </a:prstGeom>
        <a:solidFill>
          <a:srgbClr val="556B2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400" b="0" i="0">
              <a:solidFill>
                <a:schemeClr val="bg1"/>
              </a:solidFill>
            </a:rPr>
            <a:t>View</a:t>
          </a:r>
          <a:r>
            <a:rPr lang="en-ZA" sz="1400" b="0" i="0" baseline="0">
              <a:solidFill>
                <a:schemeClr val="bg1"/>
              </a:solidFill>
            </a:rPr>
            <a:t> portfolio | Check if cash:bond portfolio is balanced | Calculate interest</a:t>
          </a:r>
          <a:endParaRPr lang="en-ZA" sz="1400" b="0" i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25</xdr:row>
      <xdr:rowOff>19050</xdr:rowOff>
    </xdr:from>
    <xdr:to>
      <xdr:col>10</xdr:col>
      <xdr:colOff>190500</xdr:colOff>
      <xdr:row>38</xdr:row>
      <xdr:rowOff>83820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746760</xdr:colOff>
      <xdr:row>1</xdr:row>
      <xdr:rowOff>182880</xdr:rowOff>
    </xdr:from>
    <xdr:to>
      <xdr:col>18</xdr:col>
      <xdr:colOff>274320</xdr:colOff>
      <xdr:row>11</xdr:row>
      <xdr:rowOff>45720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380220" y="373380"/>
          <a:ext cx="4442460" cy="1844040"/>
        </a:xfrm>
        <a:prstGeom prst="rect">
          <a:avLst/>
        </a:prstGeom>
        <a:solidFill>
          <a:schemeClr val="lt1"/>
        </a:solidFill>
        <a:ln w="63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/>
            <a:t>- Swap maturity date is the bond</a:t>
          </a:r>
          <a:r>
            <a:rPr lang="en-ZA" sz="1100" baseline="0"/>
            <a:t> coupon date.</a:t>
          </a:r>
        </a:p>
        <a:p>
          <a:r>
            <a:rPr lang="en-ZA" sz="1100" baseline="0"/>
            <a:t>- Floating leg is 1m JIBAR received monthly.</a:t>
          </a:r>
        </a:p>
        <a:p>
          <a:r>
            <a:rPr lang="en-ZA" sz="1100" baseline="0"/>
            <a:t>- Fixed leg is one coupon paid at coupon date.</a:t>
          </a:r>
        </a:p>
        <a:p>
          <a:r>
            <a:rPr lang="en-ZA" sz="1100" baseline="0"/>
            <a:t>- Resets in advance and settles in arrears.</a:t>
          </a:r>
        </a:p>
        <a:p>
          <a:r>
            <a:rPr lang="en-ZA" sz="1100" baseline="0"/>
            <a:t>- ACT/365 and Modified Following day conventions.</a:t>
          </a:r>
        </a:p>
        <a:p>
          <a:r>
            <a:rPr lang="en-ZA" sz="1100" baseline="0"/>
            <a:t>- Linear interpolation is used to calculate spot rates for dates between periods 1d, 1m, 3m, 6m.</a:t>
          </a:r>
        </a:p>
        <a:p>
          <a:r>
            <a:rPr lang="en-ZA" sz="1100" baseline="0"/>
            <a:t>- Fair forward rates are calculated for the floating rate.</a:t>
          </a:r>
        </a:p>
        <a:p>
          <a:r>
            <a:rPr lang="en-ZA" sz="1100" baseline="0"/>
            <a:t>- If there is a front short stub, use the 1m JIBAR at effective date.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6E64F-B976-4765-8346-A07E3A2B560A}">
  <sheetPr codeName="Sheet9"/>
  <dimension ref="B2:C28"/>
  <sheetViews>
    <sheetView showGridLines="0" workbookViewId="0">
      <selection activeCell="B2" sqref="B2"/>
    </sheetView>
  </sheetViews>
  <sheetFormatPr defaultRowHeight="14.4" x14ac:dyDescent="0.3"/>
  <cols>
    <col min="2" max="2" width="18.6640625" customWidth="1"/>
    <col min="3" max="3" width="83.6640625" customWidth="1"/>
  </cols>
  <sheetData>
    <row r="2" spans="2:3" ht="25.8" x14ac:dyDescent="0.5">
      <c r="B2" s="35" t="s">
        <v>148</v>
      </c>
      <c r="C2" s="34"/>
    </row>
    <row r="3" spans="2:3" x14ac:dyDescent="0.3">
      <c r="B3" s="55"/>
      <c r="C3" s="56"/>
    </row>
    <row r="4" spans="2:3" ht="33.6" customHeight="1" x14ac:dyDescent="0.3">
      <c r="B4" s="102" t="s">
        <v>144</v>
      </c>
      <c r="C4" s="103"/>
    </row>
    <row r="5" spans="2:3" x14ac:dyDescent="0.3">
      <c r="B5" s="57"/>
      <c r="C5" s="58"/>
    </row>
    <row r="6" spans="2:3" ht="57.6" x14ac:dyDescent="0.3">
      <c r="B6" s="59" t="s">
        <v>129</v>
      </c>
      <c r="C6" s="60" t="s">
        <v>149</v>
      </c>
    </row>
    <row r="7" spans="2:3" x14ac:dyDescent="0.3">
      <c r="B7" s="61"/>
      <c r="C7" s="62" t="s">
        <v>143</v>
      </c>
    </row>
    <row r="8" spans="2:3" x14ac:dyDescent="0.3">
      <c r="B8" s="61"/>
      <c r="C8" s="61"/>
    </row>
    <row r="9" spans="2:3" ht="43.2" x14ac:dyDescent="0.3">
      <c r="B9" s="61"/>
      <c r="C9" s="63" t="s">
        <v>146</v>
      </c>
    </row>
    <row r="10" spans="2:3" x14ac:dyDescent="0.3">
      <c r="B10" s="64"/>
      <c r="C10" s="65"/>
    </row>
    <row r="11" spans="2:3" ht="43.2" x14ac:dyDescent="0.3">
      <c r="B11" s="59" t="s">
        <v>130</v>
      </c>
      <c r="C11" s="60" t="s">
        <v>145</v>
      </c>
    </row>
    <row r="12" spans="2:3" x14ac:dyDescent="0.3">
      <c r="B12" s="66"/>
      <c r="C12" s="64"/>
    </row>
    <row r="13" spans="2:3" x14ac:dyDescent="0.3">
      <c r="B13" s="59" t="s">
        <v>131</v>
      </c>
      <c r="C13" s="67" t="s">
        <v>141</v>
      </c>
    </row>
    <row r="14" spans="2:3" x14ac:dyDescent="0.3">
      <c r="B14" s="66"/>
      <c r="C14" s="64"/>
    </row>
    <row r="15" spans="2:3" x14ac:dyDescent="0.3">
      <c r="B15" s="59" t="s">
        <v>132</v>
      </c>
      <c r="C15" s="67" t="s">
        <v>142</v>
      </c>
    </row>
    <row r="16" spans="2:3" x14ac:dyDescent="0.3">
      <c r="B16" s="66"/>
      <c r="C16" s="64"/>
    </row>
    <row r="17" spans="2:3" ht="43.2" x14ac:dyDescent="0.3">
      <c r="B17" s="59" t="s">
        <v>133</v>
      </c>
      <c r="C17" s="68" t="s">
        <v>150</v>
      </c>
    </row>
    <row r="18" spans="2:3" x14ac:dyDescent="0.3">
      <c r="B18" s="69"/>
      <c r="C18" s="61"/>
    </row>
    <row r="19" spans="2:3" x14ac:dyDescent="0.3">
      <c r="B19" s="69"/>
      <c r="C19" s="61" t="s">
        <v>147</v>
      </c>
    </row>
    <row r="20" spans="2:3" x14ac:dyDescent="0.3">
      <c r="B20" s="66"/>
      <c r="C20" s="64"/>
    </row>
    <row r="21" spans="2:3" x14ac:dyDescent="0.3">
      <c r="B21" s="59" t="s">
        <v>134</v>
      </c>
      <c r="C21" s="67" t="s">
        <v>140</v>
      </c>
    </row>
    <row r="22" spans="2:3" x14ac:dyDescent="0.3">
      <c r="B22" s="70"/>
      <c r="C22" s="64"/>
    </row>
    <row r="23" spans="2:3" x14ac:dyDescent="0.3">
      <c r="B23" s="59" t="s">
        <v>135</v>
      </c>
      <c r="C23" s="67" t="s">
        <v>139</v>
      </c>
    </row>
    <row r="24" spans="2:3" x14ac:dyDescent="0.3">
      <c r="B24" s="66"/>
      <c r="C24" s="64"/>
    </row>
    <row r="25" spans="2:3" x14ac:dyDescent="0.3">
      <c r="B25" s="59" t="s">
        <v>136</v>
      </c>
      <c r="C25" s="67" t="s">
        <v>138</v>
      </c>
    </row>
    <row r="26" spans="2:3" x14ac:dyDescent="0.3">
      <c r="B26" s="69"/>
      <c r="C26" s="61" t="s">
        <v>137</v>
      </c>
    </row>
    <row r="27" spans="2:3" x14ac:dyDescent="0.3">
      <c r="B27" s="66"/>
      <c r="C27" s="64"/>
    </row>
    <row r="28" spans="2:3" x14ac:dyDescent="0.3">
      <c r="B28" s="24"/>
      <c r="C28" s="25"/>
    </row>
  </sheetData>
  <mergeCells count="1">
    <mergeCell ref="B4:C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46"/>
  <sheetViews>
    <sheetView showGridLines="0" tabSelected="1" workbookViewId="0">
      <selection activeCell="K15" sqref="K15:L15"/>
    </sheetView>
  </sheetViews>
  <sheetFormatPr defaultRowHeight="14.4" x14ac:dyDescent="0.3"/>
  <cols>
    <col min="1" max="1" width="3.33203125" style="7" customWidth="1"/>
    <col min="2" max="2" width="5.109375" style="7" customWidth="1"/>
    <col min="3" max="3" width="16.5546875" style="7" customWidth="1"/>
    <col min="4" max="4" width="15.44140625" style="7" customWidth="1"/>
    <col min="5" max="5" width="1.33203125" style="7" customWidth="1"/>
    <col min="6" max="6" width="8.88671875" style="7"/>
    <col min="7" max="7" width="12.44140625" style="7" customWidth="1"/>
    <col min="8" max="8" width="11.88671875" style="7" customWidth="1"/>
    <col min="9" max="9" width="2.21875" style="7" customWidth="1"/>
    <col min="10" max="10" width="20.109375" style="7" customWidth="1"/>
    <col min="11" max="11" width="15.88671875" style="7" customWidth="1"/>
    <col min="12" max="12" width="8.5546875" style="7" customWidth="1"/>
    <col min="13" max="13" width="8.88671875" style="7"/>
    <col min="14" max="14" width="20.5546875" style="7" customWidth="1"/>
    <col min="15" max="15" width="13.88671875" style="7" customWidth="1"/>
    <col min="16" max="16" width="15" style="7" customWidth="1"/>
    <col min="17" max="16384" width="8.88671875" style="7"/>
  </cols>
  <sheetData>
    <row r="1" spans="2:17" s="27" customFormat="1" x14ac:dyDescent="0.3"/>
    <row r="2" spans="2:17" s="27" customFormat="1" ht="36.6" x14ac:dyDescent="0.7">
      <c r="B2" s="29" t="s">
        <v>31</v>
      </c>
      <c r="K2" s="28"/>
    </row>
    <row r="3" spans="2:17" s="27" customFormat="1" x14ac:dyDescent="0.3"/>
    <row r="6" spans="2:17" ht="15.6" x14ac:dyDescent="0.3">
      <c r="C6" s="26" t="s">
        <v>7</v>
      </c>
      <c r="D6" s="16"/>
      <c r="E6" s="16"/>
      <c r="J6" s="26" t="s">
        <v>80</v>
      </c>
      <c r="K6" s="16"/>
      <c r="L6" s="16"/>
      <c r="N6" s="26" t="s">
        <v>81</v>
      </c>
      <c r="O6"/>
      <c r="P6" s="16"/>
      <c r="Q6" s="16"/>
    </row>
    <row r="7" spans="2:17" ht="15.6" x14ac:dyDescent="0.3">
      <c r="C7" s="43" t="s">
        <v>85</v>
      </c>
      <c r="D7" s="51">
        <v>43313</v>
      </c>
      <c r="E7" s="17"/>
      <c r="F7" s="99" t="s">
        <v>123</v>
      </c>
      <c r="J7" s="43" t="s">
        <v>98</v>
      </c>
      <c r="K7" s="44">
        <f>K8+K9</f>
        <v>100000000</v>
      </c>
      <c r="L7" s="45"/>
      <c r="N7" s="43" t="s">
        <v>50</v>
      </c>
      <c r="O7" s="43" t="s">
        <v>82</v>
      </c>
      <c r="P7" s="43" t="s">
        <v>96</v>
      </c>
      <c r="Q7" s="43" t="s">
        <v>97</v>
      </c>
    </row>
    <row r="8" spans="2:17" ht="15.6" x14ac:dyDescent="0.3">
      <c r="C8" s="43" t="s">
        <v>70</v>
      </c>
      <c r="D8" s="45">
        <v>108.5</v>
      </c>
      <c r="E8" s="18"/>
      <c r="F8" s="99" t="s">
        <v>124</v>
      </c>
      <c r="J8" s="43" t="s">
        <v>94</v>
      </c>
      <c r="K8" s="44">
        <f>D9</f>
        <v>20000000</v>
      </c>
      <c r="L8" s="46">
        <f>K8/K7</f>
        <v>0.2</v>
      </c>
      <c r="N8" s="45" t="s">
        <v>117</v>
      </c>
      <c r="O8" s="52">
        <f>AVERAGEIF('3a. Bond data V'!$E$2:$E$1048576,"&lt;=5",'3a. Bond data V'!$D$2:$D$1048576)</f>
        <v>7.4374999999999927E-2</v>
      </c>
      <c r="P8" s="44">
        <f>SUMIF('3a. Bond data V'!$E$2:$E$1048576,"&lt;=5",'3a. Bond data V'!$C$2:$C$1048576)</f>
        <v>40000000</v>
      </c>
      <c r="Q8" s="46">
        <f>P8/SUM($P$8:$P$11)</f>
        <v>0.5</v>
      </c>
    </row>
    <row r="9" spans="2:17" ht="15.6" x14ac:dyDescent="0.3">
      <c r="C9" s="43" t="s">
        <v>94</v>
      </c>
      <c r="D9" s="44">
        <v>20000000</v>
      </c>
      <c r="E9" s="19"/>
      <c r="F9" s="99" t="s">
        <v>125</v>
      </c>
      <c r="J9" s="43" t="s">
        <v>99</v>
      </c>
      <c r="K9" s="44">
        <f>D10</f>
        <v>80000000</v>
      </c>
      <c r="L9" s="46">
        <f>K9/K7</f>
        <v>0.8</v>
      </c>
      <c r="N9" s="45" t="s">
        <v>118</v>
      </c>
      <c r="O9" s="52">
        <f>AVERAGEIFS('3a. Bond data V'!$D$2:$D$1048576,'3a. Bond data V'!$E$2:$E$1048576,"&gt;5",'3a. Bond data V'!$E$2:$E$1048576,"&lt;=10")</f>
        <v>0.105</v>
      </c>
      <c r="P9" s="44">
        <f>SUMIFS('3a. Bond data V'!$C$2:$C$1048576,'3a. Bond data V'!$E$2:$E$1048576,"&gt;5",'3a. Bond data V'!$E$2:$E$1048576,"&lt;=10")</f>
        <v>24000000</v>
      </c>
      <c r="Q9" s="46">
        <f>P9/SUM($P$8:$P$11)</f>
        <v>0.3</v>
      </c>
    </row>
    <row r="10" spans="2:17" ht="15.6" x14ac:dyDescent="0.3">
      <c r="C10" s="43" t="s">
        <v>99</v>
      </c>
      <c r="D10" s="44">
        <f>SUM(P8:P11)</f>
        <v>80000000</v>
      </c>
      <c r="E10" s="19"/>
      <c r="F10" s="99" t="s">
        <v>126</v>
      </c>
      <c r="J10" s="47"/>
      <c r="K10" s="48"/>
      <c r="L10" s="49"/>
      <c r="N10" s="45" t="s">
        <v>119</v>
      </c>
      <c r="O10" s="52">
        <f>AVERAGEIF('3a. Bond data V'!$E$2:$E$1048576,"&gt;10",'3a. Bond data V'!$D$2:$D$1048576)</f>
        <v>8.9999999999999983E-2</v>
      </c>
      <c r="P10" s="44">
        <f>SUMIF('3a. Bond data V'!$E$2:$E$1048576,"&gt;10",'3a. Bond data V'!$C$2:$C$1048576)</f>
        <v>8000000</v>
      </c>
      <c r="Q10" s="46">
        <f>P10/SUM($P$8:$P$11)</f>
        <v>0.1</v>
      </c>
    </row>
    <row r="11" spans="2:17" ht="15.6" x14ac:dyDescent="0.3">
      <c r="C11" s="43" t="s">
        <v>116</v>
      </c>
      <c r="D11" s="50">
        <v>1.4999999999999999E-2</v>
      </c>
      <c r="E11" s="20"/>
      <c r="F11" s="99" t="s">
        <v>127</v>
      </c>
      <c r="J11" s="43" t="s">
        <v>120</v>
      </c>
      <c r="K11" s="44">
        <f>SUM(C15:C45)-SUM(D15:D45)</f>
        <v>22824.308000013232</v>
      </c>
      <c r="L11" s="45"/>
      <c r="N11" s="45" t="s">
        <v>70</v>
      </c>
      <c r="O11" s="52">
        <f>AVERAGE('3b. Bond data CPI'!$D$2:$D$1048576)</f>
        <v>5.5E-2</v>
      </c>
      <c r="P11" s="44">
        <f>SUM('3b. Bond data CPI'!$C$2:$C$1048576)</f>
        <v>8000000</v>
      </c>
      <c r="Q11" s="46">
        <f>P11/SUM($P$8:$P$11)</f>
        <v>0.1</v>
      </c>
    </row>
    <row r="12" spans="2:17" ht="15.6" x14ac:dyDescent="0.3">
      <c r="E12" s="21"/>
      <c r="F12" s="99"/>
      <c r="J12" s="43" t="s">
        <v>100</v>
      </c>
      <c r="K12" s="44">
        <f>K13+K14</f>
        <v>100022824.30800001</v>
      </c>
      <c r="L12" s="45"/>
    </row>
    <row r="13" spans="2:17" ht="15.6" x14ac:dyDescent="0.3">
      <c r="F13" s="99"/>
      <c r="J13" s="43" t="s">
        <v>101</v>
      </c>
      <c r="K13" s="44">
        <f>K8+K11</f>
        <v>20022824.308000013</v>
      </c>
      <c r="L13" s="46">
        <f>K13/K12</f>
        <v>0.20018255279758732</v>
      </c>
    </row>
    <row r="14" spans="2:17" ht="15.6" x14ac:dyDescent="0.3">
      <c r="B14" s="26" t="s">
        <v>109</v>
      </c>
      <c r="C14" s="26" t="s">
        <v>107</v>
      </c>
      <c r="D14" s="26" t="s">
        <v>108</v>
      </c>
      <c r="F14" s="100" t="s">
        <v>121</v>
      </c>
      <c r="J14" s="43" t="s">
        <v>102</v>
      </c>
      <c r="K14" s="44">
        <f>SUM(P8:P11)</f>
        <v>80000000</v>
      </c>
      <c r="L14" s="46">
        <f>K14/K12</f>
        <v>0.79981744720241266</v>
      </c>
    </row>
    <row r="15" spans="2:17" ht="15.6" x14ac:dyDescent="0.3">
      <c r="B15" s="53">
        <v>1</v>
      </c>
      <c r="C15" s="54">
        <v>2188684.1690000002</v>
      </c>
      <c r="D15" s="54">
        <v>2185609.4190000002</v>
      </c>
      <c r="E15" s="22"/>
      <c r="F15" s="100" t="s">
        <v>122</v>
      </c>
      <c r="J15" s="43" t="s">
        <v>95</v>
      </c>
      <c r="K15" s="104" t="str">
        <f>IF(AND($L$13&gt;=0.17,$L$13&lt;=0.22),"Balanced","Re-balancing required")</f>
        <v>Balanced</v>
      </c>
      <c r="L15" s="105"/>
    </row>
    <row r="16" spans="2:17" ht="15.6" x14ac:dyDescent="0.3">
      <c r="B16" s="53">
        <v>2</v>
      </c>
      <c r="C16" s="54">
        <v>2255668.3840000001</v>
      </c>
      <c r="D16" s="54">
        <v>2207484.0440000002</v>
      </c>
      <c r="E16" s="23"/>
      <c r="J16" s="47"/>
      <c r="K16" s="48"/>
      <c r="L16" s="49"/>
    </row>
    <row r="17" spans="2:12" ht="15.6" x14ac:dyDescent="0.3">
      <c r="B17" s="53">
        <v>3</v>
      </c>
      <c r="C17" s="54">
        <v>2191346.963</v>
      </c>
      <c r="D17" s="54">
        <v>2194907.6850000001</v>
      </c>
      <c r="E17" s="23"/>
      <c r="J17" s="43" t="s">
        <v>103</v>
      </c>
      <c r="K17" s="44">
        <f>SUM('3a. Bond data V'!$P$2:$P$1048576)+SUM('3b. Bond data CPI'!$K$2:$K$1048576)</f>
        <v>455710.43586873292</v>
      </c>
      <c r="L17" s="45"/>
    </row>
    <row r="18" spans="2:12" ht="15.6" x14ac:dyDescent="0.3">
      <c r="B18" s="53">
        <v>4</v>
      </c>
      <c r="C18" s="54">
        <v>2203300.0149999997</v>
      </c>
      <c r="D18" s="54">
        <v>2190556.7649999997</v>
      </c>
      <c r="E18" s="23"/>
      <c r="J18" s="43" t="s">
        <v>104</v>
      </c>
      <c r="K18" s="44">
        <f>K9*D11/12</f>
        <v>100000</v>
      </c>
      <c r="L18" s="50"/>
    </row>
    <row r="19" spans="2:12" ht="15.6" x14ac:dyDescent="0.3">
      <c r="B19" s="53">
        <v>5</v>
      </c>
      <c r="C19" s="54">
        <v>2230203.429</v>
      </c>
      <c r="D19" s="54">
        <v>2173735.8489999999</v>
      </c>
      <c r="E19" s="23"/>
      <c r="J19" s="43" t="s">
        <v>105</v>
      </c>
      <c r="K19" s="44">
        <f>K17-K18</f>
        <v>355710.43586873292</v>
      </c>
      <c r="L19" s="45"/>
    </row>
    <row r="20" spans="2:12" ht="15.6" x14ac:dyDescent="0.3">
      <c r="B20" s="53">
        <v>6</v>
      </c>
      <c r="C20" s="54">
        <v>2197771.085</v>
      </c>
      <c r="D20" s="54">
        <v>2179762.0039999997</v>
      </c>
      <c r="E20" s="23"/>
      <c r="J20" s="43" t="s">
        <v>106</v>
      </c>
      <c r="K20" s="46">
        <f>12*K19/'2. Transactions'!L8</f>
        <v>4.2669104833122383E-2</v>
      </c>
      <c r="L20" s="45"/>
    </row>
    <row r="21" spans="2:12" x14ac:dyDescent="0.3">
      <c r="B21" s="53">
        <v>7</v>
      </c>
      <c r="C21" s="54">
        <v>2190168.0719999997</v>
      </c>
      <c r="D21" s="54">
        <v>2192088.2760000001</v>
      </c>
      <c r="E21" s="23"/>
    </row>
    <row r="22" spans="2:12" x14ac:dyDescent="0.3">
      <c r="B22" s="53">
        <v>8</v>
      </c>
      <c r="C22" s="54">
        <v>2201172.409</v>
      </c>
      <c r="D22" s="54">
        <v>2206221.0819999999</v>
      </c>
      <c r="E22" s="23"/>
    </row>
    <row r="23" spans="2:12" x14ac:dyDescent="0.3">
      <c r="B23" s="53">
        <v>9</v>
      </c>
      <c r="C23" s="54">
        <v>2180106.3689999999</v>
      </c>
      <c r="D23" s="54">
        <v>2199033.5190000003</v>
      </c>
      <c r="E23" s="23"/>
    </row>
    <row r="24" spans="2:12" x14ac:dyDescent="0.3">
      <c r="B24" s="53">
        <v>10</v>
      </c>
      <c r="C24" s="54">
        <v>2206957.8459999999</v>
      </c>
      <c r="D24" s="54">
        <v>2219646.9190000002</v>
      </c>
      <c r="E24" s="23"/>
    </row>
    <row r="25" spans="2:12" x14ac:dyDescent="0.3">
      <c r="B25" s="53">
        <v>11</v>
      </c>
      <c r="C25" s="54">
        <v>2204050.4</v>
      </c>
      <c r="D25" s="54">
        <v>2205882.3960000002</v>
      </c>
      <c r="E25" s="23"/>
    </row>
    <row r="26" spans="2:12" x14ac:dyDescent="0.3">
      <c r="B26" s="53">
        <v>12</v>
      </c>
      <c r="C26" s="54">
        <v>2176546.6359999999</v>
      </c>
      <c r="D26" s="54">
        <v>2202932.0300000003</v>
      </c>
      <c r="E26" s="23"/>
    </row>
    <row r="27" spans="2:12" x14ac:dyDescent="0.3">
      <c r="B27" s="53">
        <v>13</v>
      </c>
      <c r="C27" s="54">
        <v>2187281.4850000003</v>
      </c>
      <c r="D27" s="54">
        <v>2181073.4780000001</v>
      </c>
      <c r="E27" s="23"/>
    </row>
    <row r="28" spans="2:12" x14ac:dyDescent="0.3">
      <c r="B28" s="53">
        <v>14</v>
      </c>
      <c r="C28" s="54">
        <v>2153679.665</v>
      </c>
      <c r="D28" s="54">
        <v>2197975.2140000002</v>
      </c>
      <c r="E28" s="23"/>
    </row>
    <row r="29" spans="2:12" x14ac:dyDescent="0.3">
      <c r="B29" s="53">
        <v>15</v>
      </c>
      <c r="C29" s="54">
        <v>2161105.1859999998</v>
      </c>
      <c r="D29" s="54">
        <v>2201396.3810000001</v>
      </c>
      <c r="E29" s="23"/>
    </row>
    <row r="30" spans="2:12" x14ac:dyDescent="0.3">
      <c r="B30" s="53">
        <v>16</v>
      </c>
      <c r="C30" s="54">
        <v>2196567.7719999999</v>
      </c>
      <c r="D30" s="54">
        <v>2210632.1</v>
      </c>
      <c r="E30" s="23"/>
    </row>
    <row r="31" spans="2:12" x14ac:dyDescent="0.3">
      <c r="B31" s="53">
        <v>17</v>
      </c>
      <c r="C31" s="54">
        <v>2237296.352</v>
      </c>
      <c r="D31" s="54">
        <v>2208728.5609999998</v>
      </c>
      <c r="E31" s="23"/>
    </row>
    <row r="32" spans="2:12" x14ac:dyDescent="0.3">
      <c r="B32" s="53">
        <v>18</v>
      </c>
      <c r="C32" s="54">
        <v>2244792.0109999999</v>
      </c>
      <c r="D32" s="54">
        <v>2195370.1129999999</v>
      </c>
      <c r="E32" s="23"/>
    </row>
    <row r="33" spans="2:5" x14ac:dyDescent="0.3">
      <c r="B33" s="53">
        <v>19</v>
      </c>
      <c r="C33" s="54">
        <v>2210228.5949999997</v>
      </c>
      <c r="D33" s="54">
        <v>2194976.9369999999</v>
      </c>
      <c r="E33" s="23"/>
    </row>
    <row r="34" spans="2:5" x14ac:dyDescent="0.3">
      <c r="B34" s="53">
        <v>20</v>
      </c>
      <c r="C34" s="54">
        <v>2140005.094</v>
      </c>
      <c r="D34" s="54">
        <v>2199003.6170000001</v>
      </c>
      <c r="E34" s="23"/>
    </row>
    <row r="35" spans="2:5" x14ac:dyDescent="0.3">
      <c r="B35" s="53">
        <v>21</v>
      </c>
      <c r="C35" s="54">
        <v>2166130.858</v>
      </c>
      <c r="D35" s="54">
        <v>2187858.503</v>
      </c>
      <c r="E35" s="23"/>
    </row>
    <row r="36" spans="2:5" x14ac:dyDescent="0.3">
      <c r="B36" s="53">
        <v>22</v>
      </c>
      <c r="C36" s="54">
        <v>2199310.321</v>
      </c>
      <c r="D36" s="54">
        <v>2192462.9300000002</v>
      </c>
      <c r="E36" s="23"/>
    </row>
    <row r="37" spans="2:5" x14ac:dyDescent="0.3">
      <c r="B37" s="53">
        <v>23</v>
      </c>
      <c r="C37" s="54">
        <v>2230121.898</v>
      </c>
      <c r="D37" s="54">
        <v>2216379.3530000001</v>
      </c>
      <c r="E37" s="23"/>
    </row>
    <row r="38" spans="2:5" x14ac:dyDescent="0.3">
      <c r="B38" s="53">
        <v>24</v>
      </c>
      <c r="C38" s="54">
        <v>2185781.8459999999</v>
      </c>
      <c r="D38" s="54">
        <v>2208747.1399999997</v>
      </c>
      <c r="E38" s="23"/>
    </row>
    <row r="39" spans="2:5" x14ac:dyDescent="0.3">
      <c r="B39" s="53">
        <v>25</v>
      </c>
      <c r="C39" s="54">
        <v>2202844.0120000001</v>
      </c>
      <c r="D39" s="54">
        <v>2200734.8670000001</v>
      </c>
      <c r="E39" s="23"/>
    </row>
    <row r="40" spans="2:5" x14ac:dyDescent="0.3">
      <c r="B40" s="53">
        <v>26</v>
      </c>
      <c r="C40" s="54">
        <v>2186855.7429999998</v>
      </c>
      <c r="D40" s="54">
        <v>2166830.2110000001</v>
      </c>
      <c r="E40" s="23"/>
    </row>
    <row r="41" spans="2:5" x14ac:dyDescent="0.3">
      <c r="B41" s="53">
        <v>27</v>
      </c>
      <c r="C41" s="54">
        <v>2216622.5579999997</v>
      </c>
      <c r="D41" s="54">
        <v>2211004.5359999998</v>
      </c>
      <c r="E41" s="23"/>
    </row>
    <row r="42" spans="2:5" x14ac:dyDescent="0.3">
      <c r="B42" s="53">
        <v>28</v>
      </c>
      <c r="C42" s="54">
        <v>2166716.4550000001</v>
      </c>
      <c r="D42" s="54">
        <v>2209490.5060000001</v>
      </c>
      <c r="E42" s="23"/>
    </row>
    <row r="43" spans="2:5" x14ac:dyDescent="0.3">
      <c r="B43" s="53">
        <v>29</v>
      </c>
      <c r="C43" s="54">
        <v>2186912.5039999997</v>
      </c>
      <c r="D43" s="54">
        <v>2216444.7000000002</v>
      </c>
      <c r="E43" s="23"/>
    </row>
    <row r="44" spans="2:5" x14ac:dyDescent="0.3">
      <c r="B44" s="53">
        <v>30</v>
      </c>
      <c r="C44" s="54">
        <v>2262035.6120000002</v>
      </c>
      <c r="D44" s="54">
        <v>2179160.4249999998</v>
      </c>
      <c r="E44" s="23"/>
    </row>
    <row r="45" spans="2:5" x14ac:dyDescent="0.3">
      <c r="B45" s="53">
        <v>31</v>
      </c>
      <c r="C45" s="54">
        <v>2197768.656</v>
      </c>
      <c r="D45" s="54">
        <v>2199078.5320000001</v>
      </c>
      <c r="E45" s="23"/>
    </row>
    <row r="46" spans="2:5" x14ac:dyDescent="0.3">
      <c r="E46" s="23"/>
    </row>
  </sheetData>
  <mergeCells count="1">
    <mergeCell ref="K15:L15"/>
  </mergeCells>
  <conditionalFormatting sqref="K15">
    <cfRule type="cellIs" dxfId="1" priority="1" operator="equal">
      <formula>"Re-balancing required"</formula>
    </cfRule>
    <cfRule type="cellIs" dxfId="0" priority="2" operator="equal">
      <formula>"Balanced"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updateSwaps">
                <anchor moveWithCells="1" sizeWithCells="1">
                  <from>
                    <xdr:col>5</xdr:col>
                    <xdr:colOff>243840</xdr:colOff>
                    <xdr:row>16</xdr:row>
                    <xdr:rowOff>106680</xdr:rowOff>
                  </from>
                  <to>
                    <xdr:col>6</xdr:col>
                    <xdr:colOff>746760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'5c. Ranges'!$C$2:$C$8</xm:f>
          </x14:formula1>
          <xm:sqref>D7:E7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L32"/>
  <sheetViews>
    <sheetView workbookViewId="0">
      <selection activeCell="L8" sqref="L8"/>
    </sheetView>
  </sheetViews>
  <sheetFormatPr defaultRowHeight="14.4" x14ac:dyDescent="0.3"/>
  <cols>
    <col min="1" max="1" width="5.5546875" customWidth="1"/>
    <col min="2" max="2" width="11.77734375" customWidth="1"/>
    <col min="3" max="4" width="14.21875" customWidth="1"/>
    <col min="5" max="5" width="12.21875" customWidth="1"/>
    <col min="6" max="6" width="14.33203125" customWidth="1"/>
    <col min="7" max="8" width="12.21875" customWidth="1"/>
    <col min="10" max="10" width="14.109375" customWidth="1"/>
    <col min="11" max="11" width="14.88671875" bestFit="1" customWidth="1"/>
    <col min="12" max="12" width="20.88671875" customWidth="1"/>
  </cols>
  <sheetData>
    <row r="1" spans="1:12" ht="28.8" x14ac:dyDescent="0.3">
      <c r="A1" s="26" t="s">
        <v>109</v>
      </c>
      <c r="B1" s="26" t="s">
        <v>13</v>
      </c>
      <c r="C1" s="33" t="s">
        <v>107</v>
      </c>
      <c r="D1" s="33" t="s">
        <v>108</v>
      </c>
      <c r="E1" s="30" t="s">
        <v>111</v>
      </c>
      <c r="F1" s="30" t="s">
        <v>128</v>
      </c>
      <c r="G1" s="30" t="s">
        <v>112</v>
      </c>
      <c r="H1" s="30" t="s">
        <v>113</v>
      </c>
      <c r="I1" s="5"/>
    </row>
    <row r="2" spans="1:12" x14ac:dyDescent="0.3">
      <c r="A2" s="53">
        <v>1</v>
      </c>
      <c r="B2" s="71">
        <f>'1. Portfolio'!$D$7</f>
        <v>43313</v>
      </c>
      <c r="C2" s="72">
        <f>'1. Portfolio'!C15</f>
        <v>2188684.1690000002</v>
      </c>
      <c r="D2" s="72">
        <f>'1. Portfolio'!D15</f>
        <v>2185609.4190000002</v>
      </c>
      <c r="E2" s="53">
        <f>MAX(0,$K$2-A2)</f>
        <v>30</v>
      </c>
      <c r="F2" s="53">
        <f>MIN(0,A2-$K$2)</f>
        <v>-30</v>
      </c>
      <c r="G2" s="73">
        <f>E2/$K$2</f>
        <v>0.967741935483871</v>
      </c>
      <c r="H2" s="73">
        <f>F2/$K$2</f>
        <v>-0.967741935483871</v>
      </c>
      <c r="J2" s="74" t="s">
        <v>110</v>
      </c>
      <c r="K2" s="53">
        <f>DAY(EOMONTH('1. Portfolio'!$D$7,0))</f>
        <v>31</v>
      </c>
    </row>
    <row r="3" spans="1:12" x14ac:dyDescent="0.3">
      <c r="A3" s="53">
        <v>2</v>
      </c>
      <c r="B3" s="71">
        <f t="shared" ref="B3:B32" si="0">IF(A3&gt;$K$2,"",B2+1)</f>
        <v>43314</v>
      </c>
      <c r="C3" s="72">
        <f>'1. Portfolio'!C16</f>
        <v>2255668.3840000001</v>
      </c>
      <c r="D3" s="72">
        <f>'1. Portfolio'!D16</f>
        <v>2207484.0440000002</v>
      </c>
      <c r="E3" s="53">
        <f t="shared" ref="E3:E32" si="1">MAX(0,$K$2-A3)</f>
        <v>29</v>
      </c>
      <c r="F3" s="53">
        <f t="shared" ref="F3:F32" si="2">MIN(0,A3-$K$2)</f>
        <v>-29</v>
      </c>
      <c r="G3" s="73">
        <f t="shared" ref="G3:G32" si="3">E3/$K$2</f>
        <v>0.93548387096774188</v>
      </c>
      <c r="H3" s="73">
        <f t="shared" ref="H3:H32" si="4">F3/$K$2</f>
        <v>-0.93548387096774188</v>
      </c>
    </row>
    <row r="4" spans="1:12" x14ac:dyDescent="0.3">
      <c r="A4" s="53">
        <v>3</v>
      </c>
      <c r="B4" s="71">
        <f t="shared" si="0"/>
        <v>43315</v>
      </c>
      <c r="C4" s="72">
        <f>'1. Portfolio'!C17</f>
        <v>2191346.963</v>
      </c>
      <c r="D4" s="72">
        <f>'1. Portfolio'!D17</f>
        <v>2194907.6850000001</v>
      </c>
      <c r="E4" s="53">
        <f t="shared" si="1"/>
        <v>28</v>
      </c>
      <c r="F4" s="53">
        <f t="shared" si="2"/>
        <v>-28</v>
      </c>
      <c r="G4" s="73">
        <f t="shared" si="3"/>
        <v>0.90322580645161288</v>
      </c>
      <c r="H4" s="73">
        <f t="shared" si="4"/>
        <v>-0.90322580645161288</v>
      </c>
      <c r="J4" s="74" t="s">
        <v>114</v>
      </c>
      <c r="K4" s="74" t="s">
        <v>96</v>
      </c>
      <c r="L4" s="74" t="s">
        <v>115</v>
      </c>
    </row>
    <row r="5" spans="1:12" x14ac:dyDescent="0.3">
      <c r="A5" s="53">
        <v>4</v>
      </c>
      <c r="B5" s="71">
        <f t="shared" si="0"/>
        <v>43316</v>
      </c>
      <c r="C5" s="72">
        <f>'1. Portfolio'!C18</f>
        <v>2203300.0149999997</v>
      </c>
      <c r="D5" s="72">
        <f>'1. Portfolio'!D18</f>
        <v>2190556.7649999997</v>
      </c>
      <c r="E5" s="53">
        <f t="shared" si="1"/>
        <v>27</v>
      </c>
      <c r="F5" s="53">
        <f t="shared" si="2"/>
        <v>-27</v>
      </c>
      <c r="G5" s="73">
        <f t="shared" si="3"/>
        <v>0.87096774193548387</v>
      </c>
      <c r="H5" s="73">
        <f t="shared" si="4"/>
        <v>-0.87096774193548387</v>
      </c>
      <c r="J5" s="53" t="s">
        <v>98</v>
      </c>
      <c r="K5" s="75">
        <f>'1. Portfolio'!$K$7</f>
        <v>100000000</v>
      </c>
      <c r="L5" s="75">
        <f>$K$5*1</f>
        <v>100000000</v>
      </c>
    </row>
    <row r="6" spans="1:12" x14ac:dyDescent="0.3">
      <c r="A6" s="53">
        <v>5</v>
      </c>
      <c r="B6" s="71">
        <f t="shared" si="0"/>
        <v>43317</v>
      </c>
      <c r="C6" s="72">
        <f>'1. Portfolio'!C19</f>
        <v>2230203.429</v>
      </c>
      <c r="D6" s="72">
        <f>'1. Portfolio'!D19</f>
        <v>2173735.8489999999</v>
      </c>
      <c r="E6" s="53">
        <f t="shared" si="1"/>
        <v>26</v>
      </c>
      <c r="F6" s="53">
        <f t="shared" si="2"/>
        <v>-26</v>
      </c>
      <c r="G6" s="73">
        <f t="shared" si="3"/>
        <v>0.83870967741935487</v>
      </c>
      <c r="H6" s="73">
        <f t="shared" si="4"/>
        <v>-0.83870967741935487</v>
      </c>
      <c r="J6" s="53" t="s">
        <v>107</v>
      </c>
      <c r="K6" s="75">
        <f>SUMIF($A$2:$A$32,"&lt;="&amp;$K$2,$C$2:$C$32)</f>
        <v>68158032.400000006</v>
      </c>
      <c r="L6" s="75">
        <f>SUMPRODUCT($G$2:$G$32,$C$2:$C$32)</f>
        <v>32987535.334580645</v>
      </c>
    </row>
    <row r="7" spans="1:12" x14ac:dyDescent="0.3">
      <c r="A7" s="53">
        <v>6</v>
      </c>
      <c r="B7" s="71">
        <f t="shared" si="0"/>
        <v>43318</v>
      </c>
      <c r="C7" s="72">
        <f>'1. Portfolio'!C20</f>
        <v>2197771.085</v>
      </c>
      <c r="D7" s="72">
        <f>'1. Portfolio'!D20</f>
        <v>2179762.0039999997</v>
      </c>
      <c r="E7" s="53">
        <f t="shared" si="1"/>
        <v>25</v>
      </c>
      <c r="F7" s="53">
        <f t="shared" si="2"/>
        <v>-25</v>
      </c>
      <c r="G7" s="73">
        <f t="shared" si="3"/>
        <v>0.80645161290322576</v>
      </c>
      <c r="H7" s="73">
        <f t="shared" si="4"/>
        <v>-0.80645161290322576</v>
      </c>
      <c r="J7" s="53" t="s">
        <v>108</v>
      </c>
      <c r="K7" s="75">
        <f>SUMIF($A$2:$A$32,"&lt;="&amp;$K$2,$D$2:$D$32)</f>
        <v>68135208.091999993</v>
      </c>
      <c r="L7" s="75">
        <f>SUMPRODUCT($H$2:$H$32,$D$2:$D$32)</f>
        <v>-32949691.861677427</v>
      </c>
    </row>
    <row r="8" spans="1:12" x14ac:dyDescent="0.3">
      <c r="A8" s="53">
        <v>7</v>
      </c>
      <c r="B8" s="71">
        <f t="shared" si="0"/>
        <v>43319</v>
      </c>
      <c r="C8" s="72">
        <f>'1. Portfolio'!C21</f>
        <v>2190168.0719999997</v>
      </c>
      <c r="D8" s="72">
        <f>'1. Portfolio'!D21</f>
        <v>2192088.2760000001</v>
      </c>
      <c r="E8" s="53">
        <f t="shared" si="1"/>
        <v>24</v>
      </c>
      <c r="F8" s="53">
        <f t="shared" si="2"/>
        <v>-24</v>
      </c>
      <c r="G8" s="73">
        <f t="shared" si="3"/>
        <v>0.77419354838709675</v>
      </c>
      <c r="H8" s="73">
        <f t="shared" si="4"/>
        <v>-0.77419354838709675</v>
      </c>
      <c r="L8" s="75">
        <f>SUM(L5:L7)</f>
        <v>100037843.47290322</v>
      </c>
    </row>
    <row r="9" spans="1:12" x14ac:dyDescent="0.3">
      <c r="A9" s="53">
        <v>8</v>
      </c>
      <c r="B9" s="71">
        <f t="shared" si="0"/>
        <v>43320</v>
      </c>
      <c r="C9" s="72">
        <f>'1. Portfolio'!C22</f>
        <v>2201172.409</v>
      </c>
      <c r="D9" s="72">
        <f>'1. Portfolio'!D22</f>
        <v>2206221.0819999999</v>
      </c>
      <c r="E9" s="53">
        <f t="shared" si="1"/>
        <v>23</v>
      </c>
      <c r="F9" s="53">
        <f t="shared" si="2"/>
        <v>-23</v>
      </c>
      <c r="G9" s="73">
        <f t="shared" si="3"/>
        <v>0.74193548387096775</v>
      </c>
      <c r="H9" s="73">
        <f t="shared" si="4"/>
        <v>-0.74193548387096775</v>
      </c>
    </row>
    <row r="10" spans="1:12" x14ac:dyDescent="0.3">
      <c r="A10" s="53">
        <v>9</v>
      </c>
      <c r="B10" s="71">
        <f t="shared" si="0"/>
        <v>43321</v>
      </c>
      <c r="C10" s="72">
        <f>'1. Portfolio'!C23</f>
        <v>2180106.3689999999</v>
      </c>
      <c r="D10" s="72">
        <f>'1. Portfolio'!D23</f>
        <v>2199033.5190000003</v>
      </c>
      <c r="E10" s="53">
        <f t="shared" si="1"/>
        <v>22</v>
      </c>
      <c r="F10" s="53">
        <f t="shared" si="2"/>
        <v>-22</v>
      </c>
      <c r="G10" s="73">
        <f t="shared" si="3"/>
        <v>0.70967741935483875</v>
      </c>
      <c r="H10" s="73">
        <f t="shared" si="4"/>
        <v>-0.70967741935483875</v>
      </c>
    </row>
    <row r="11" spans="1:12" x14ac:dyDescent="0.3">
      <c r="A11" s="53">
        <v>10</v>
      </c>
      <c r="B11" s="71">
        <f t="shared" si="0"/>
        <v>43322</v>
      </c>
      <c r="C11" s="72">
        <f>'1. Portfolio'!C24</f>
        <v>2206957.8459999999</v>
      </c>
      <c r="D11" s="72">
        <f>'1. Portfolio'!D24</f>
        <v>2219646.9190000002</v>
      </c>
      <c r="E11" s="53">
        <f t="shared" si="1"/>
        <v>21</v>
      </c>
      <c r="F11" s="53">
        <f t="shared" si="2"/>
        <v>-21</v>
      </c>
      <c r="G11" s="73">
        <f t="shared" si="3"/>
        <v>0.67741935483870963</v>
      </c>
      <c r="H11" s="73">
        <f t="shared" si="4"/>
        <v>-0.67741935483870963</v>
      </c>
    </row>
    <row r="12" spans="1:12" x14ac:dyDescent="0.3">
      <c r="A12" s="53">
        <v>11</v>
      </c>
      <c r="B12" s="71">
        <f t="shared" si="0"/>
        <v>43323</v>
      </c>
      <c r="C12" s="72">
        <f>'1. Portfolio'!C25</f>
        <v>2204050.4</v>
      </c>
      <c r="D12" s="72">
        <f>'1. Portfolio'!D25</f>
        <v>2205882.3960000002</v>
      </c>
      <c r="E12" s="53">
        <f t="shared" si="1"/>
        <v>20</v>
      </c>
      <c r="F12" s="53">
        <f t="shared" si="2"/>
        <v>-20</v>
      </c>
      <c r="G12" s="73">
        <f t="shared" si="3"/>
        <v>0.64516129032258063</v>
      </c>
      <c r="H12" s="73">
        <f t="shared" si="4"/>
        <v>-0.64516129032258063</v>
      </c>
    </row>
    <row r="13" spans="1:12" x14ac:dyDescent="0.3">
      <c r="A13" s="53">
        <v>12</v>
      </c>
      <c r="B13" s="71">
        <f t="shared" si="0"/>
        <v>43324</v>
      </c>
      <c r="C13" s="72">
        <f>'1. Portfolio'!C26</f>
        <v>2176546.6359999999</v>
      </c>
      <c r="D13" s="72">
        <f>'1. Portfolio'!D26</f>
        <v>2202932.0300000003</v>
      </c>
      <c r="E13" s="53">
        <f t="shared" si="1"/>
        <v>19</v>
      </c>
      <c r="F13" s="53">
        <f t="shared" si="2"/>
        <v>-19</v>
      </c>
      <c r="G13" s="73">
        <f t="shared" si="3"/>
        <v>0.61290322580645162</v>
      </c>
      <c r="H13" s="73">
        <f t="shared" si="4"/>
        <v>-0.61290322580645162</v>
      </c>
    </row>
    <row r="14" spans="1:12" x14ac:dyDescent="0.3">
      <c r="A14" s="53">
        <v>13</v>
      </c>
      <c r="B14" s="71">
        <f t="shared" si="0"/>
        <v>43325</v>
      </c>
      <c r="C14" s="72">
        <f>'1. Portfolio'!C27</f>
        <v>2187281.4850000003</v>
      </c>
      <c r="D14" s="72">
        <f>'1. Portfolio'!D27</f>
        <v>2181073.4780000001</v>
      </c>
      <c r="E14" s="53">
        <f t="shared" si="1"/>
        <v>18</v>
      </c>
      <c r="F14" s="53">
        <f t="shared" si="2"/>
        <v>-18</v>
      </c>
      <c r="G14" s="73">
        <f t="shared" si="3"/>
        <v>0.58064516129032262</v>
      </c>
      <c r="H14" s="73">
        <f t="shared" si="4"/>
        <v>-0.58064516129032262</v>
      </c>
    </row>
    <row r="15" spans="1:12" x14ac:dyDescent="0.3">
      <c r="A15" s="53">
        <v>14</v>
      </c>
      <c r="B15" s="71">
        <f t="shared" si="0"/>
        <v>43326</v>
      </c>
      <c r="C15" s="72">
        <f>'1. Portfolio'!C28</f>
        <v>2153679.665</v>
      </c>
      <c r="D15" s="72">
        <f>'1. Portfolio'!D28</f>
        <v>2197975.2140000002</v>
      </c>
      <c r="E15" s="53">
        <f t="shared" si="1"/>
        <v>17</v>
      </c>
      <c r="F15" s="53">
        <f t="shared" si="2"/>
        <v>-17</v>
      </c>
      <c r="G15" s="73">
        <f t="shared" si="3"/>
        <v>0.54838709677419351</v>
      </c>
      <c r="H15" s="73">
        <f t="shared" si="4"/>
        <v>-0.54838709677419351</v>
      </c>
    </row>
    <row r="16" spans="1:12" x14ac:dyDescent="0.3">
      <c r="A16" s="53">
        <v>15</v>
      </c>
      <c r="B16" s="71">
        <f t="shared" si="0"/>
        <v>43327</v>
      </c>
      <c r="C16" s="72">
        <f>'1. Portfolio'!C29</f>
        <v>2161105.1859999998</v>
      </c>
      <c r="D16" s="72">
        <f>'1. Portfolio'!D29</f>
        <v>2201396.3810000001</v>
      </c>
      <c r="E16" s="53">
        <f t="shared" si="1"/>
        <v>16</v>
      </c>
      <c r="F16" s="53">
        <f t="shared" si="2"/>
        <v>-16</v>
      </c>
      <c r="G16" s="73">
        <f t="shared" si="3"/>
        <v>0.5161290322580645</v>
      </c>
      <c r="H16" s="73">
        <f t="shared" si="4"/>
        <v>-0.5161290322580645</v>
      </c>
    </row>
    <row r="17" spans="1:8" x14ac:dyDescent="0.3">
      <c r="A17" s="53">
        <v>16</v>
      </c>
      <c r="B17" s="71">
        <f t="shared" si="0"/>
        <v>43328</v>
      </c>
      <c r="C17" s="72">
        <f>'1. Portfolio'!C30</f>
        <v>2196567.7719999999</v>
      </c>
      <c r="D17" s="72">
        <f>'1. Portfolio'!D30</f>
        <v>2210632.1</v>
      </c>
      <c r="E17" s="53">
        <f t="shared" si="1"/>
        <v>15</v>
      </c>
      <c r="F17" s="53">
        <f t="shared" si="2"/>
        <v>-15</v>
      </c>
      <c r="G17" s="73">
        <f t="shared" si="3"/>
        <v>0.4838709677419355</v>
      </c>
      <c r="H17" s="73">
        <f t="shared" si="4"/>
        <v>-0.4838709677419355</v>
      </c>
    </row>
    <row r="18" spans="1:8" x14ac:dyDescent="0.3">
      <c r="A18" s="53">
        <v>17</v>
      </c>
      <c r="B18" s="71">
        <f t="shared" si="0"/>
        <v>43329</v>
      </c>
      <c r="C18" s="72">
        <f>'1. Portfolio'!C31</f>
        <v>2237296.352</v>
      </c>
      <c r="D18" s="72">
        <f>'1. Portfolio'!D31</f>
        <v>2208728.5609999998</v>
      </c>
      <c r="E18" s="53">
        <f t="shared" si="1"/>
        <v>14</v>
      </c>
      <c r="F18" s="53">
        <f t="shared" si="2"/>
        <v>-14</v>
      </c>
      <c r="G18" s="73">
        <f t="shared" si="3"/>
        <v>0.45161290322580644</v>
      </c>
      <c r="H18" s="73">
        <f t="shared" si="4"/>
        <v>-0.45161290322580644</v>
      </c>
    </row>
    <row r="19" spans="1:8" x14ac:dyDescent="0.3">
      <c r="A19" s="53">
        <v>18</v>
      </c>
      <c r="B19" s="71">
        <f t="shared" si="0"/>
        <v>43330</v>
      </c>
      <c r="C19" s="72">
        <f>'1. Portfolio'!C32</f>
        <v>2244792.0109999999</v>
      </c>
      <c r="D19" s="72">
        <f>'1. Portfolio'!D32</f>
        <v>2195370.1129999999</v>
      </c>
      <c r="E19" s="53">
        <f t="shared" si="1"/>
        <v>13</v>
      </c>
      <c r="F19" s="53">
        <f t="shared" si="2"/>
        <v>-13</v>
      </c>
      <c r="G19" s="73">
        <f t="shared" si="3"/>
        <v>0.41935483870967744</v>
      </c>
      <c r="H19" s="73">
        <f t="shared" si="4"/>
        <v>-0.41935483870967744</v>
      </c>
    </row>
    <row r="20" spans="1:8" x14ac:dyDescent="0.3">
      <c r="A20" s="53">
        <v>19</v>
      </c>
      <c r="B20" s="71">
        <f t="shared" si="0"/>
        <v>43331</v>
      </c>
      <c r="C20" s="72">
        <f>'1. Portfolio'!C33</f>
        <v>2210228.5949999997</v>
      </c>
      <c r="D20" s="72">
        <f>'1. Portfolio'!D33</f>
        <v>2194976.9369999999</v>
      </c>
      <c r="E20" s="53">
        <f t="shared" si="1"/>
        <v>12</v>
      </c>
      <c r="F20" s="53">
        <f t="shared" si="2"/>
        <v>-12</v>
      </c>
      <c r="G20" s="73">
        <f t="shared" si="3"/>
        <v>0.38709677419354838</v>
      </c>
      <c r="H20" s="73">
        <f t="shared" si="4"/>
        <v>-0.38709677419354838</v>
      </c>
    </row>
    <row r="21" spans="1:8" x14ac:dyDescent="0.3">
      <c r="A21" s="53">
        <v>20</v>
      </c>
      <c r="B21" s="71">
        <f t="shared" si="0"/>
        <v>43332</v>
      </c>
      <c r="C21" s="72">
        <f>'1. Portfolio'!C34</f>
        <v>2140005.094</v>
      </c>
      <c r="D21" s="72">
        <f>'1. Portfolio'!D34</f>
        <v>2199003.6170000001</v>
      </c>
      <c r="E21" s="53">
        <f t="shared" si="1"/>
        <v>11</v>
      </c>
      <c r="F21" s="53">
        <f t="shared" si="2"/>
        <v>-11</v>
      </c>
      <c r="G21" s="73">
        <f t="shared" si="3"/>
        <v>0.35483870967741937</v>
      </c>
      <c r="H21" s="73">
        <f t="shared" si="4"/>
        <v>-0.35483870967741937</v>
      </c>
    </row>
    <row r="22" spans="1:8" x14ac:dyDescent="0.3">
      <c r="A22" s="53">
        <v>21</v>
      </c>
      <c r="B22" s="71">
        <f t="shared" si="0"/>
        <v>43333</v>
      </c>
      <c r="C22" s="72">
        <f>'1. Portfolio'!C35</f>
        <v>2166130.858</v>
      </c>
      <c r="D22" s="72">
        <f>'1. Portfolio'!D35</f>
        <v>2187858.503</v>
      </c>
      <c r="E22" s="53">
        <f t="shared" si="1"/>
        <v>10</v>
      </c>
      <c r="F22" s="53">
        <f t="shared" si="2"/>
        <v>-10</v>
      </c>
      <c r="G22" s="73">
        <f t="shared" si="3"/>
        <v>0.32258064516129031</v>
      </c>
      <c r="H22" s="73">
        <f t="shared" si="4"/>
        <v>-0.32258064516129031</v>
      </c>
    </row>
    <row r="23" spans="1:8" x14ac:dyDescent="0.3">
      <c r="A23" s="53">
        <v>22</v>
      </c>
      <c r="B23" s="71">
        <f t="shared" si="0"/>
        <v>43334</v>
      </c>
      <c r="C23" s="72">
        <f>'1. Portfolio'!C36</f>
        <v>2199310.321</v>
      </c>
      <c r="D23" s="72">
        <f>'1. Portfolio'!D36</f>
        <v>2192462.9300000002</v>
      </c>
      <c r="E23" s="53">
        <f t="shared" si="1"/>
        <v>9</v>
      </c>
      <c r="F23" s="53">
        <f t="shared" si="2"/>
        <v>-9</v>
      </c>
      <c r="G23" s="73">
        <f t="shared" si="3"/>
        <v>0.29032258064516131</v>
      </c>
      <c r="H23" s="73">
        <f t="shared" si="4"/>
        <v>-0.29032258064516131</v>
      </c>
    </row>
    <row r="24" spans="1:8" x14ac:dyDescent="0.3">
      <c r="A24" s="53">
        <v>23</v>
      </c>
      <c r="B24" s="71">
        <f t="shared" si="0"/>
        <v>43335</v>
      </c>
      <c r="C24" s="72">
        <f>'1. Portfolio'!C37</f>
        <v>2230121.898</v>
      </c>
      <c r="D24" s="72">
        <f>'1. Portfolio'!D37</f>
        <v>2216379.3530000001</v>
      </c>
      <c r="E24" s="53">
        <f t="shared" si="1"/>
        <v>8</v>
      </c>
      <c r="F24" s="53">
        <f t="shared" si="2"/>
        <v>-8</v>
      </c>
      <c r="G24" s="73">
        <f t="shared" si="3"/>
        <v>0.25806451612903225</v>
      </c>
      <c r="H24" s="73">
        <f t="shared" si="4"/>
        <v>-0.25806451612903225</v>
      </c>
    </row>
    <row r="25" spans="1:8" x14ac:dyDescent="0.3">
      <c r="A25" s="53">
        <v>24</v>
      </c>
      <c r="B25" s="71">
        <f t="shared" si="0"/>
        <v>43336</v>
      </c>
      <c r="C25" s="72">
        <f>'1. Portfolio'!C38</f>
        <v>2185781.8459999999</v>
      </c>
      <c r="D25" s="72">
        <f>'1. Portfolio'!D38</f>
        <v>2208747.1399999997</v>
      </c>
      <c r="E25" s="53">
        <f t="shared" si="1"/>
        <v>7</v>
      </c>
      <c r="F25" s="53">
        <f t="shared" si="2"/>
        <v>-7</v>
      </c>
      <c r="G25" s="73">
        <f t="shared" si="3"/>
        <v>0.22580645161290322</v>
      </c>
      <c r="H25" s="73">
        <f t="shared" si="4"/>
        <v>-0.22580645161290322</v>
      </c>
    </row>
    <row r="26" spans="1:8" x14ac:dyDescent="0.3">
      <c r="A26" s="53">
        <v>25</v>
      </c>
      <c r="B26" s="71">
        <f t="shared" si="0"/>
        <v>43337</v>
      </c>
      <c r="C26" s="72">
        <f>'1. Portfolio'!C39</f>
        <v>2202844.0120000001</v>
      </c>
      <c r="D26" s="72">
        <f>'1. Portfolio'!D39</f>
        <v>2200734.8670000001</v>
      </c>
      <c r="E26" s="53">
        <f t="shared" si="1"/>
        <v>6</v>
      </c>
      <c r="F26" s="53">
        <f t="shared" si="2"/>
        <v>-6</v>
      </c>
      <c r="G26" s="73">
        <f t="shared" si="3"/>
        <v>0.19354838709677419</v>
      </c>
      <c r="H26" s="73">
        <f t="shared" si="4"/>
        <v>-0.19354838709677419</v>
      </c>
    </row>
    <row r="27" spans="1:8" x14ac:dyDescent="0.3">
      <c r="A27" s="53">
        <v>26</v>
      </c>
      <c r="B27" s="71">
        <f t="shared" si="0"/>
        <v>43338</v>
      </c>
      <c r="C27" s="72">
        <f>'1. Portfolio'!C40</f>
        <v>2186855.7429999998</v>
      </c>
      <c r="D27" s="72">
        <f>'1. Portfolio'!D40</f>
        <v>2166830.2110000001</v>
      </c>
      <c r="E27" s="53">
        <f t="shared" si="1"/>
        <v>5</v>
      </c>
      <c r="F27" s="53">
        <f t="shared" si="2"/>
        <v>-5</v>
      </c>
      <c r="G27" s="73">
        <f t="shared" si="3"/>
        <v>0.16129032258064516</v>
      </c>
      <c r="H27" s="73">
        <f t="shared" si="4"/>
        <v>-0.16129032258064516</v>
      </c>
    </row>
    <row r="28" spans="1:8" x14ac:dyDescent="0.3">
      <c r="A28" s="53">
        <v>27</v>
      </c>
      <c r="B28" s="71">
        <f t="shared" si="0"/>
        <v>43339</v>
      </c>
      <c r="C28" s="72">
        <f>'1. Portfolio'!C41</f>
        <v>2216622.5579999997</v>
      </c>
      <c r="D28" s="72">
        <f>'1. Portfolio'!D41</f>
        <v>2211004.5359999998</v>
      </c>
      <c r="E28" s="53">
        <f t="shared" si="1"/>
        <v>4</v>
      </c>
      <c r="F28" s="53">
        <f t="shared" si="2"/>
        <v>-4</v>
      </c>
      <c r="G28" s="73">
        <f t="shared" si="3"/>
        <v>0.12903225806451613</v>
      </c>
      <c r="H28" s="73">
        <f t="shared" si="4"/>
        <v>-0.12903225806451613</v>
      </c>
    </row>
    <row r="29" spans="1:8" x14ac:dyDescent="0.3">
      <c r="A29" s="53">
        <v>28</v>
      </c>
      <c r="B29" s="71">
        <f t="shared" si="0"/>
        <v>43340</v>
      </c>
      <c r="C29" s="72">
        <f>'1. Portfolio'!C42</f>
        <v>2166716.4550000001</v>
      </c>
      <c r="D29" s="72">
        <f>'1. Portfolio'!D42</f>
        <v>2209490.5060000001</v>
      </c>
      <c r="E29" s="53">
        <f t="shared" si="1"/>
        <v>3</v>
      </c>
      <c r="F29" s="53">
        <f t="shared" si="2"/>
        <v>-3</v>
      </c>
      <c r="G29" s="73">
        <f t="shared" si="3"/>
        <v>9.6774193548387094E-2</v>
      </c>
      <c r="H29" s="73">
        <f t="shared" si="4"/>
        <v>-9.6774193548387094E-2</v>
      </c>
    </row>
    <row r="30" spans="1:8" x14ac:dyDescent="0.3">
      <c r="A30" s="53">
        <v>29</v>
      </c>
      <c r="B30" s="71">
        <f t="shared" si="0"/>
        <v>43341</v>
      </c>
      <c r="C30" s="72">
        <f>'1. Portfolio'!C43</f>
        <v>2186912.5039999997</v>
      </c>
      <c r="D30" s="72">
        <f>'1. Portfolio'!D43</f>
        <v>2216444.7000000002</v>
      </c>
      <c r="E30" s="53">
        <f t="shared" si="1"/>
        <v>2</v>
      </c>
      <c r="F30" s="53">
        <f t="shared" si="2"/>
        <v>-2</v>
      </c>
      <c r="G30" s="73">
        <f t="shared" si="3"/>
        <v>6.4516129032258063E-2</v>
      </c>
      <c r="H30" s="73">
        <f t="shared" si="4"/>
        <v>-6.4516129032258063E-2</v>
      </c>
    </row>
    <row r="31" spans="1:8" x14ac:dyDescent="0.3">
      <c r="A31" s="53">
        <v>30</v>
      </c>
      <c r="B31" s="71">
        <f t="shared" si="0"/>
        <v>43342</v>
      </c>
      <c r="C31" s="72">
        <f>'1. Portfolio'!C44</f>
        <v>2262035.6120000002</v>
      </c>
      <c r="D31" s="72">
        <f>'1. Portfolio'!D44</f>
        <v>2179160.4249999998</v>
      </c>
      <c r="E31" s="53">
        <f t="shared" si="1"/>
        <v>1</v>
      </c>
      <c r="F31" s="53">
        <f t="shared" si="2"/>
        <v>-1</v>
      </c>
      <c r="G31" s="73">
        <f t="shared" si="3"/>
        <v>3.2258064516129031E-2</v>
      </c>
      <c r="H31" s="73">
        <f t="shared" si="4"/>
        <v>-3.2258064516129031E-2</v>
      </c>
    </row>
    <row r="32" spans="1:8" x14ac:dyDescent="0.3">
      <c r="A32" s="53">
        <v>31</v>
      </c>
      <c r="B32" s="71">
        <f t="shared" si="0"/>
        <v>43343</v>
      </c>
      <c r="C32" s="72">
        <f>'1. Portfolio'!C45</f>
        <v>2197768.656</v>
      </c>
      <c r="D32" s="72">
        <f>'1. Portfolio'!D45</f>
        <v>2199078.5320000001</v>
      </c>
      <c r="E32" s="53">
        <f t="shared" si="1"/>
        <v>0</v>
      </c>
      <c r="F32" s="53">
        <f t="shared" si="2"/>
        <v>0</v>
      </c>
      <c r="G32" s="73">
        <f t="shared" si="3"/>
        <v>0</v>
      </c>
      <c r="H32" s="73">
        <f t="shared" si="4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73"/>
  <sheetViews>
    <sheetView workbookViewId="0">
      <pane ySplit="1" topLeftCell="A2" activePane="bottomLeft" state="frozen"/>
      <selection pane="bottomLeft" activeCell="P1" sqref="P1"/>
    </sheetView>
  </sheetViews>
  <sheetFormatPr defaultRowHeight="14.4" x14ac:dyDescent="0.3"/>
  <cols>
    <col min="1" max="1" width="6.109375" style="53" customWidth="1"/>
    <col min="2" max="2" width="7.77734375" style="53" customWidth="1"/>
    <col min="3" max="3" width="10.21875" style="53" bestFit="1" customWidth="1"/>
    <col min="4" max="4" width="11.44140625" style="53" customWidth="1"/>
    <col min="5" max="5" width="8.33203125" style="53" customWidth="1"/>
    <col min="6" max="6" width="12.5546875" style="53" customWidth="1"/>
    <col min="7" max="8" width="13.77734375" style="53" customWidth="1"/>
    <col min="9" max="9" width="12.88671875" style="53" customWidth="1"/>
    <col min="10" max="10" width="14.6640625" style="53" customWidth="1"/>
    <col min="11" max="12" width="11.88671875" style="53" customWidth="1"/>
    <col min="13" max="13" width="13.109375" style="53" customWidth="1"/>
    <col min="14" max="14" width="14.77734375" style="53" customWidth="1"/>
    <col min="15" max="15" width="16" style="53" customWidth="1"/>
    <col min="16" max="16" width="9.33203125" style="53" bestFit="1" customWidth="1"/>
  </cols>
  <sheetData>
    <row r="1" spans="1:16" ht="28.8" x14ac:dyDescent="0.3">
      <c r="A1" s="31" t="s">
        <v>38</v>
      </c>
      <c r="B1" s="31" t="s">
        <v>39</v>
      </c>
      <c r="C1" s="31" t="s">
        <v>5</v>
      </c>
      <c r="D1" s="31" t="s">
        <v>8</v>
      </c>
      <c r="E1" s="31" t="s">
        <v>40</v>
      </c>
      <c r="F1" s="31" t="s">
        <v>4</v>
      </c>
      <c r="G1" s="31" t="s">
        <v>44</v>
      </c>
      <c r="H1" s="31" t="s">
        <v>45</v>
      </c>
      <c r="I1" s="30" t="s">
        <v>42</v>
      </c>
      <c r="J1" s="30" t="s">
        <v>83</v>
      </c>
      <c r="K1" s="30" t="s">
        <v>41</v>
      </c>
      <c r="L1" s="32" t="s">
        <v>89</v>
      </c>
      <c r="M1" s="32" t="s">
        <v>90</v>
      </c>
      <c r="N1" s="32" t="s">
        <v>88</v>
      </c>
      <c r="O1" s="30" t="s">
        <v>91</v>
      </c>
      <c r="P1" s="30" t="s">
        <v>92</v>
      </c>
    </row>
    <row r="2" spans="1:16" x14ac:dyDescent="0.3">
      <c r="A2" s="53">
        <v>1</v>
      </c>
      <c r="B2" s="76" t="s">
        <v>43</v>
      </c>
      <c r="C2" s="54">
        <v>1000000</v>
      </c>
      <c r="D2" s="77">
        <f>INDEX('5a. Bond info'!C$2:C$20,MATCH($B2,'5a. Bond info'!$A$2:$A$20,0))</f>
        <v>0.08</v>
      </c>
      <c r="E2" s="53">
        <f>INDEX('5a. Bond info'!D$2:D$20,MATCH($B2,'5a. Bond info'!$A$2:$A$20,0))</f>
        <v>1</v>
      </c>
      <c r="F2" s="71">
        <f>INDEX('5a. Bond info'!E$2:E$20,MATCH($B2,'5a. Bond info'!$A$2:$A$20,0))</f>
        <v>43455</v>
      </c>
      <c r="G2" s="71">
        <f>INDEX('5a. Bond info'!F$2:F$20,MATCH($B2,'5a. Bond info'!$A$2:$A$20,0))</f>
        <v>43637</v>
      </c>
      <c r="H2" s="71">
        <f>INDEX('5a. Bond info'!G$2:G$20,MATCH($B2,'5a. Bond info'!$A$2:$A$20,0))</f>
        <v>43455</v>
      </c>
      <c r="I2" s="71">
        <f>MIN(G2:H2)</f>
        <v>43455</v>
      </c>
      <c r="J2" s="71">
        <f>MAX(DATE(2017,8,1),EDATE(I2,-6))</f>
        <v>43272</v>
      </c>
      <c r="K2" s="71">
        <f t="shared" ref="K2:K33" si="0">IF(MONTH(WORKDAY(J2-1,1,Hols))=MONTH(J2),WORKDAY(J2-1,1,Hols),WORKDAY(J2,-1,Hols))</f>
        <v>43272</v>
      </c>
      <c r="L2" s="71">
        <v>43304</v>
      </c>
      <c r="M2" s="71">
        <v>43333</v>
      </c>
      <c r="N2" s="77">
        <v>5.3618319704371586E-3</v>
      </c>
      <c r="O2" s="77">
        <f>IF(ISNA(INDEX('5b. Spot rates'!$C$2:$C$1000,MATCH(L2,'5b. Spot rates'!$A$2:$A$1000,0))+N2),0,INDEX('5b. Spot rates'!$C$2:$C$1000,MATCH(L2,'5b. Spot rates'!$A$2:$A$1000,0))+N2)</f>
        <v>7.2695131970437157E-2</v>
      </c>
      <c r="P2" s="54">
        <f>C2*O2*(M2-L2)/365</f>
        <v>5775.7776086100757</v>
      </c>
    </row>
    <row r="3" spans="1:16" x14ac:dyDescent="0.3">
      <c r="A3" s="53">
        <v>2</v>
      </c>
      <c r="B3" s="76" t="s">
        <v>43</v>
      </c>
      <c r="C3" s="54">
        <v>1000000</v>
      </c>
      <c r="D3" s="77">
        <f>INDEX('5a. Bond info'!C$2:C$20,MATCH($B3,'5a. Bond info'!$A$2:$A$20,0))</f>
        <v>0.08</v>
      </c>
      <c r="E3" s="53">
        <f>INDEX('5a. Bond info'!D$2:D$20,MATCH($B3,'5a. Bond info'!$A$2:$A$20,0))</f>
        <v>1</v>
      </c>
      <c r="F3" s="71">
        <f>INDEX('5a. Bond info'!E$2:E$20,MATCH($B3,'5a. Bond info'!$A$2:$A$20,0))</f>
        <v>43455</v>
      </c>
      <c r="G3" s="71">
        <f>INDEX('5a. Bond info'!F$2:F$20,MATCH($B3,'5a. Bond info'!$A$2:$A$20,0))</f>
        <v>43637</v>
      </c>
      <c r="H3" s="71">
        <f>INDEX('5a. Bond info'!G$2:G$20,MATCH($B3,'5a. Bond info'!$A$2:$A$20,0))</f>
        <v>43455</v>
      </c>
      <c r="I3" s="71">
        <f t="shared" ref="I3:I66" si="1">MIN(G3:H3)</f>
        <v>43455</v>
      </c>
      <c r="J3" s="71">
        <f t="shared" ref="J3:J66" si="2">MAX(DATE(2017,8,1),EDATE(I3,-6))</f>
        <v>43272</v>
      </c>
      <c r="K3" s="71">
        <f t="shared" si="0"/>
        <v>43272</v>
      </c>
      <c r="L3" s="71">
        <v>43304</v>
      </c>
      <c r="M3" s="71">
        <v>43333</v>
      </c>
      <c r="N3" s="77">
        <v>5.3618319704371586E-3</v>
      </c>
      <c r="O3" s="77">
        <f>IF(ISNA(INDEX('5b. Spot rates'!$C$2:$C$1000,MATCH(L3,'5b. Spot rates'!$A$2:$A$1000,0))+N3),0,INDEX('5b. Spot rates'!$C$2:$C$1000,MATCH(L3,'5b. Spot rates'!$A$2:$A$1000,0))+N3)</f>
        <v>7.2695131970437157E-2</v>
      </c>
      <c r="P3" s="54">
        <f t="shared" ref="P3:P66" si="3">C3*O3*(M3-L3)/365</f>
        <v>5775.7776086100757</v>
      </c>
    </row>
    <row r="4" spans="1:16" x14ac:dyDescent="0.3">
      <c r="A4" s="53">
        <v>3</v>
      </c>
      <c r="B4" s="76" t="s">
        <v>43</v>
      </c>
      <c r="C4" s="54">
        <v>1000000</v>
      </c>
      <c r="D4" s="77">
        <f>INDEX('5a. Bond info'!C$2:C$20,MATCH($B4,'5a. Bond info'!$A$2:$A$20,0))</f>
        <v>0.08</v>
      </c>
      <c r="E4" s="53">
        <f>INDEX('5a. Bond info'!D$2:D$20,MATCH($B4,'5a. Bond info'!$A$2:$A$20,0))</f>
        <v>1</v>
      </c>
      <c r="F4" s="71">
        <f>INDEX('5a. Bond info'!E$2:E$20,MATCH($B4,'5a. Bond info'!$A$2:$A$20,0))</f>
        <v>43455</v>
      </c>
      <c r="G4" s="71">
        <f>INDEX('5a. Bond info'!F$2:F$20,MATCH($B4,'5a. Bond info'!$A$2:$A$20,0))</f>
        <v>43637</v>
      </c>
      <c r="H4" s="71">
        <f>INDEX('5a. Bond info'!G$2:G$20,MATCH($B4,'5a. Bond info'!$A$2:$A$20,0))</f>
        <v>43455</v>
      </c>
      <c r="I4" s="71">
        <f t="shared" si="1"/>
        <v>43455</v>
      </c>
      <c r="J4" s="71">
        <f t="shared" si="2"/>
        <v>43272</v>
      </c>
      <c r="K4" s="71">
        <f t="shared" si="0"/>
        <v>43272</v>
      </c>
      <c r="L4" s="71">
        <v>43304</v>
      </c>
      <c r="M4" s="71">
        <v>43333</v>
      </c>
      <c r="N4" s="77">
        <v>5.3618319704371586E-3</v>
      </c>
      <c r="O4" s="77">
        <f>IF(ISNA(INDEX('5b. Spot rates'!$C$2:$C$1000,MATCH(L4,'5b. Spot rates'!$A$2:$A$1000,0))+N4),0,INDEX('5b. Spot rates'!$C$2:$C$1000,MATCH(L4,'5b. Spot rates'!$A$2:$A$1000,0))+N4)</f>
        <v>7.2695131970437157E-2</v>
      </c>
      <c r="P4" s="54">
        <f t="shared" si="3"/>
        <v>5775.7776086100757</v>
      </c>
    </row>
    <row r="5" spans="1:16" x14ac:dyDescent="0.3">
      <c r="A5" s="53">
        <v>4</v>
      </c>
      <c r="B5" s="76" t="s">
        <v>43</v>
      </c>
      <c r="C5" s="54">
        <v>1000000</v>
      </c>
      <c r="D5" s="77">
        <f>INDEX('5a. Bond info'!C$2:C$20,MATCH($B5,'5a. Bond info'!$A$2:$A$20,0))</f>
        <v>0.08</v>
      </c>
      <c r="E5" s="53">
        <f>INDEX('5a. Bond info'!D$2:D$20,MATCH($B5,'5a. Bond info'!$A$2:$A$20,0))</f>
        <v>1</v>
      </c>
      <c r="F5" s="71">
        <f>INDEX('5a. Bond info'!E$2:E$20,MATCH($B5,'5a. Bond info'!$A$2:$A$20,0))</f>
        <v>43455</v>
      </c>
      <c r="G5" s="71">
        <f>INDEX('5a. Bond info'!F$2:F$20,MATCH($B5,'5a. Bond info'!$A$2:$A$20,0))</f>
        <v>43637</v>
      </c>
      <c r="H5" s="71">
        <f>INDEX('5a. Bond info'!G$2:G$20,MATCH($B5,'5a. Bond info'!$A$2:$A$20,0))</f>
        <v>43455</v>
      </c>
      <c r="I5" s="71">
        <f t="shared" si="1"/>
        <v>43455</v>
      </c>
      <c r="J5" s="71">
        <f t="shared" si="2"/>
        <v>43272</v>
      </c>
      <c r="K5" s="71">
        <f t="shared" si="0"/>
        <v>43272</v>
      </c>
      <c r="L5" s="71">
        <v>43304</v>
      </c>
      <c r="M5" s="71">
        <v>43333</v>
      </c>
      <c r="N5" s="77">
        <v>5.3618319704371586E-3</v>
      </c>
      <c r="O5" s="77">
        <f>IF(ISNA(INDEX('5b. Spot rates'!$C$2:$C$1000,MATCH(L5,'5b. Spot rates'!$A$2:$A$1000,0))+N5),0,INDEX('5b. Spot rates'!$C$2:$C$1000,MATCH(L5,'5b. Spot rates'!$A$2:$A$1000,0))+N5)</f>
        <v>7.2695131970437157E-2</v>
      </c>
      <c r="P5" s="54">
        <f t="shared" si="3"/>
        <v>5775.7776086100757</v>
      </c>
    </row>
    <row r="6" spans="1:16" x14ac:dyDescent="0.3">
      <c r="A6" s="53">
        <v>5</v>
      </c>
      <c r="B6" s="76" t="s">
        <v>43</v>
      </c>
      <c r="C6" s="54">
        <v>1000000</v>
      </c>
      <c r="D6" s="77">
        <f>INDEX('5a. Bond info'!C$2:C$20,MATCH($B6,'5a. Bond info'!$A$2:$A$20,0))</f>
        <v>0.08</v>
      </c>
      <c r="E6" s="53">
        <f>INDEX('5a. Bond info'!D$2:D$20,MATCH($B6,'5a. Bond info'!$A$2:$A$20,0))</f>
        <v>1</v>
      </c>
      <c r="F6" s="71">
        <f>INDEX('5a. Bond info'!E$2:E$20,MATCH($B6,'5a. Bond info'!$A$2:$A$20,0))</f>
        <v>43455</v>
      </c>
      <c r="G6" s="71">
        <f>INDEX('5a. Bond info'!F$2:F$20,MATCH($B6,'5a. Bond info'!$A$2:$A$20,0))</f>
        <v>43637</v>
      </c>
      <c r="H6" s="71">
        <f>INDEX('5a. Bond info'!G$2:G$20,MATCH($B6,'5a. Bond info'!$A$2:$A$20,0))</f>
        <v>43455</v>
      </c>
      <c r="I6" s="71">
        <f t="shared" si="1"/>
        <v>43455</v>
      </c>
      <c r="J6" s="71">
        <f t="shared" si="2"/>
        <v>43272</v>
      </c>
      <c r="K6" s="71">
        <f t="shared" si="0"/>
        <v>43272</v>
      </c>
      <c r="L6" s="71">
        <v>43304</v>
      </c>
      <c r="M6" s="71">
        <v>43333</v>
      </c>
      <c r="N6" s="77">
        <v>5.3618319704371586E-3</v>
      </c>
      <c r="O6" s="77">
        <f>IF(ISNA(INDEX('5b. Spot rates'!$C$2:$C$1000,MATCH(L6,'5b. Spot rates'!$A$2:$A$1000,0))+N6),0,INDEX('5b. Spot rates'!$C$2:$C$1000,MATCH(L6,'5b. Spot rates'!$A$2:$A$1000,0))+N6)</f>
        <v>7.2695131970437157E-2</v>
      </c>
      <c r="P6" s="54">
        <f t="shared" si="3"/>
        <v>5775.7776086100757</v>
      </c>
    </row>
    <row r="7" spans="1:16" x14ac:dyDescent="0.3">
      <c r="A7" s="53">
        <v>6</v>
      </c>
      <c r="B7" s="76" t="s">
        <v>43</v>
      </c>
      <c r="C7" s="54">
        <v>1000000</v>
      </c>
      <c r="D7" s="77">
        <f>INDEX('5a. Bond info'!C$2:C$20,MATCH($B7,'5a. Bond info'!$A$2:$A$20,0))</f>
        <v>0.08</v>
      </c>
      <c r="E7" s="53">
        <f>INDEX('5a. Bond info'!D$2:D$20,MATCH($B7,'5a. Bond info'!$A$2:$A$20,0))</f>
        <v>1</v>
      </c>
      <c r="F7" s="71">
        <f>INDEX('5a. Bond info'!E$2:E$20,MATCH($B7,'5a. Bond info'!$A$2:$A$20,0))</f>
        <v>43455</v>
      </c>
      <c r="G7" s="71">
        <f>INDEX('5a. Bond info'!F$2:F$20,MATCH($B7,'5a. Bond info'!$A$2:$A$20,0))</f>
        <v>43637</v>
      </c>
      <c r="H7" s="71">
        <f>INDEX('5a. Bond info'!G$2:G$20,MATCH($B7,'5a. Bond info'!$A$2:$A$20,0))</f>
        <v>43455</v>
      </c>
      <c r="I7" s="71">
        <f t="shared" si="1"/>
        <v>43455</v>
      </c>
      <c r="J7" s="71">
        <f t="shared" si="2"/>
        <v>43272</v>
      </c>
      <c r="K7" s="71">
        <f t="shared" si="0"/>
        <v>43272</v>
      </c>
      <c r="L7" s="71">
        <v>43304</v>
      </c>
      <c r="M7" s="71">
        <v>43333</v>
      </c>
      <c r="N7" s="77">
        <v>5.3618319704371586E-3</v>
      </c>
      <c r="O7" s="77">
        <f>IF(ISNA(INDEX('5b. Spot rates'!$C$2:$C$1000,MATCH(L7,'5b. Spot rates'!$A$2:$A$1000,0))+N7),0,INDEX('5b. Spot rates'!$C$2:$C$1000,MATCH(L7,'5b. Spot rates'!$A$2:$A$1000,0))+N7)</f>
        <v>7.2695131970437157E-2</v>
      </c>
      <c r="P7" s="54">
        <f t="shared" si="3"/>
        <v>5775.7776086100757</v>
      </c>
    </row>
    <row r="8" spans="1:16" x14ac:dyDescent="0.3">
      <c r="A8" s="53">
        <v>7</v>
      </c>
      <c r="B8" s="76" t="s">
        <v>43</v>
      </c>
      <c r="C8" s="54">
        <v>1000000</v>
      </c>
      <c r="D8" s="77">
        <f>INDEX('5a. Bond info'!C$2:C$20,MATCH($B8,'5a. Bond info'!$A$2:$A$20,0))</f>
        <v>0.08</v>
      </c>
      <c r="E8" s="53">
        <f>INDEX('5a. Bond info'!D$2:D$20,MATCH($B8,'5a. Bond info'!$A$2:$A$20,0))</f>
        <v>1</v>
      </c>
      <c r="F8" s="71">
        <f>INDEX('5a. Bond info'!E$2:E$20,MATCH($B8,'5a. Bond info'!$A$2:$A$20,0))</f>
        <v>43455</v>
      </c>
      <c r="G8" s="71">
        <f>INDEX('5a. Bond info'!F$2:F$20,MATCH($B8,'5a. Bond info'!$A$2:$A$20,0))</f>
        <v>43637</v>
      </c>
      <c r="H8" s="71">
        <f>INDEX('5a. Bond info'!G$2:G$20,MATCH($B8,'5a. Bond info'!$A$2:$A$20,0))</f>
        <v>43455</v>
      </c>
      <c r="I8" s="71">
        <f t="shared" si="1"/>
        <v>43455</v>
      </c>
      <c r="J8" s="71">
        <f t="shared" si="2"/>
        <v>43272</v>
      </c>
      <c r="K8" s="71">
        <f t="shared" si="0"/>
        <v>43272</v>
      </c>
      <c r="L8" s="71">
        <v>43304</v>
      </c>
      <c r="M8" s="71">
        <v>43333</v>
      </c>
      <c r="N8" s="77">
        <v>5.3618319704371586E-3</v>
      </c>
      <c r="O8" s="77">
        <f>IF(ISNA(INDEX('5b. Spot rates'!$C$2:$C$1000,MATCH(L8,'5b. Spot rates'!$A$2:$A$1000,0))+N8),0,INDEX('5b. Spot rates'!$C$2:$C$1000,MATCH(L8,'5b. Spot rates'!$A$2:$A$1000,0))+N8)</f>
        <v>7.2695131970437157E-2</v>
      </c>
      <c r="P8" s="54">
        <f t="shared" si="3"/>
        <v>5775.7776086100757</v>
      </c>
    </row>
    <row r="9" spans="1:16" x14ac:dyDescent="0.3">
      <c r="A9" s="53">
        <v>8</v>
      </c>
      <c r="B9" s="76" t="s">
        <v>43</v>
      </c>
      <c r="C9" s="54">
        <v>1000000</v>
      </c>
      <c r="D9" s="77">
        <f>INDEX('5a. Bond info'!C$2:C$20,MATCH($B9,'5a. Bond info'!$A$2:$A$20,0))</f>
        <v>0.08</v>
      </c>
      <c r="E9" s="53">
        <f>INDEX('5a. Bond info'!D$2:D$20,MATCH($B9,'5a. Bond info'!$A$2:$A$20,0))</f>
        <v>1</v>
      </c>
      <c r="F9" s="71">
        <f>INDEX('5a. Bond info'!E$2:E$20,MATCH($B9,'5a. Bond info'!$A$2:$A$20,0))</f>
        <v>43455</v>
      </c>
      <c r="G9" s="71">
        <f>INDEX('5a. Bond info'!F$2:F$20,MATCH($B9,'5a. Bond info'!$A$2:$A$20,0))</f>
        <v>43637</v>
      </c>
      <c r="H9" s="71">
        <f>INDEX('5a. Bond info'!G$2:G$20,MATCH($B9,'5a. Bond info'!$A$2:$A$20,0))</f>
        <v>43455</v>
      </c>
      <c r="I9" s="71">
        <f t="shared" si="1"/>
        <v>43455</v>
      </c>
      <c r="J9" s="71">
        <f t="shared" si="2"/>
        <v>43272</v>
      </c>
      <c r="K9" s="71">
        <f t="shared" si="0"/>
        <v>43272</v>
      </c>
      <c r="L9" s="71">
        <v>43304</v>
      </c>
      <c r="M9" s="71">
        <v>43333</v>
      </c>
      <c r="N9" s="77">
        <v>5.3618319704371586E-3</v>
      </c>
      <c r="O9" s="77">
        <f>IF(ISNA(INDEX('5b. Spot rates'!$C$2:$C$1000,MATCH(L9,'5b. Spot rates'!$A$2:$A$1000,0))+N9),0,INDEX('5b. Spot rates'!$C$2:$C$1000,MATCH(L9,'5b. Spot rates'!$A$2:$A$1000,0))+N9)</f>
        <v>7.2695131970437157E-2</v>
      </c>
      <c r="P9" s="54">
        <f t="shared" si="3"/>
        <v>5775.7776086100757</v>
      </c>
    </row>
    <row r="10" spans="1:16" x14ac:dyDescent="0.3">
      <c r="A10" s="53">
        <v>9</v>
      </c>
      <c r="B10" s="76" t="s">
        <v>43</v>
      </c>
      <c r="C10" s="54">
        <v>1000000</v>
      </c>
      <c r="D10" s="77">
        <f>INDEX('5a. Bond info'!C$2:C$20,MATCH($B10,'5a. Bond info'!$A$2:$A$20,0))</f>
        <v>0.08</v>
      </c>
      <c r="E10" s="53">
        <f>INDEX('5a. Bond info'!D$2:D$20,MATCH($B10,'5a. Bond info'!$A$2:$A$20,0))</f>
        <v>1</v>
      </c>
      <c r="F10" s="71">
        <f>INDEX('5a. Bond info'!E$2:E$20,MATCH($B10,'5a. Bond info'!$A$2:$A$20,0))</f>
        <v>43455</v>
      </c>
      <c r="G10" s="71">
        <f>INDEX('5a. Bond info'!F$2:F$20,MATCH($B10,'5a. Bond info'!$A$2:$A$20,0))</f>
        <v>43637</v>
      </c>
      <c r="H10" s="71">
        <f>INDEX('5a. Bond info'!G$2:G$20,MATCH($B10,'5a. Bond info'!$A$2:$A$20,0))</f>
        <v>43455</v>
      </c>
      <c r="I10" s="71">
        <f t="shared" si="1"/>
        <v>43455</v>
      </c>
      <c r="J10" s="71">
        <f t="shared" si="2"/>
        <v>43272</v>
      </c>
      <c r="K10" s="71">
        <f t="shared" si="0"/>
        <v>43272</v>
      </c>
      <c r="L10" s="71">
        <v>43304</v>
      </c>
      <c r="M10" s="71">
        <v>43333</v>
      </c>
      <c r="N10" s="77">
        <v>5.3618319704371586E-3</v>
      </c>
      <c r="O10" s="77">
        <f>IF(ISNA(INDEX('5b. Spot rates'!$C$2:$C$1000,MATCH(L10,'5b. Spot rates'!$A$2:$A$1000,0))+N10),0,INDEX('5b. Spot rates'!$C$2:$C$1000,MATCH(L10,'5b. Spot rates'!$A$2:$A$1000,0))+N10)</f>
        <v>7.2695131970437157E-2</v>
      </c>
      <c r="P10" s="54">
        <f t="shared" si="3"/>
        <v>5775.7776086100757</v>
      </c>
    </row>
    <row r="11" spans="1:16" x14ac:dyDescent="0.3">
      <c r="A11" s="53">
        <v>10</v>
      </c>
      <c r="B11" s="76" t="s">
        <v>43</v>
      </c>
      <c r="C11" s="54">
        <v>1000000</v>
      </c>
      <c r="D11" s="77">
        <f>INDEX('5a. Bond info'!C$2:C$20,MATCH($B11,'5a. Bond info'!$A$2:$A$20,0))</f>
        <v>0.08</v>
      </c>
      <c r="E11" s="53">
        <f>INDEX('5a. Bond info'!D$2:D$20,MATCH($B11,'5a. Bond info'!$A$2:$A$20,0))</f>
        <v>1</v>
      </c>
      <c r="F11" s="71">
        <f>INDEX('5a. Bond info'!E$2:E$20,MATCH($B11,'5a. Bond info'!$A$2:$A$20,0))</f>
        <v>43455</v>
      </c>
      <c r="G11" s="71">
        <f>INDEX('5a. Bond info'!F$2:F$20,MATCH($B11,'5a. Bond info'!$A$2:$A$20,0))</f>
        <v>43637</v>
      </c>
      <c r="H11" s="71">
        <f>INDEX('5a. Bond info'!G$2:G$20,MATCH($B11,'5a. Bond info'!$A$2:$A$20,0))</f>
        <v>43455</v>
      </c>
      <c r="I11" s="71">
        <f t="shared" si="1"/>
        <v>43455</v>
      </c>
      <c r="J11" s="71">
        <f t="shared" si="2"/>
        <v>43272</v>
      </c>
      <c r="K11" s="71">
        <f t="shared" si="0"/>
        <v>43272</v>
      </c>
      <c r="L11" s="71">
        <v>43304</v>
      </c>
      <c r="M11" s="71">
        <v>43333</v>
      </c>
      <c r="N11" s="77">
        <v>5.3618319704371586E-3</v>
      </c>
      <c r="O11" s="77">
        <f>IF(ISNA(INDEX('5b. Spot rates'!$C$2:$C$1000,MATCH(L11,'5b. Spot rates'!$A$2:$A$1000,0))+N11),0,INDEX('5b. Spot rates'!$C$2:$C$1000,MATCH(L11,'5b. Spot rates'!$A$2:$A$1000,0))+N11)</f>
        <v>7.2695131970437157E-2</v>
      </c>
      <c r="P11" s="54">
        <f t="shared" si="3"/>
        <v>5775.7776086100757</v>
      </c>
    </row>
    <row r="12" spans="1:16" x14ac:dyDescent="0.3">
      <c r="A12" s="53">
        <v>11</v>
      </c>
      <c r="B12" s="76" t="s">
        <v>55</v>
      </c>
      <c r="C12" s="54">
        <v>1000000</v>
      </c>
      <c r="D12" s="77">
        <f>INDEX('5a. Bond info'!C$2:C$20,MATCH($B12,'5a. Bond info'!$A$2:$A$20,0))</f>
        <v>7.2499999999999995E-2</v>
      </c>
      <c r="E12" s="53">
        <f>INDEX('5a. Bond info'!D$2:D$20,MATCH($B12,'5a. Bond info'!$A$2:$A$20,0))</f>
        <v>2</v>
      </c>
      <c r="F12" s="71">
        <f>INDEX('5a. Bond info'!E$2:E$20,MATCH($B12,'5a. Bond info'!$A$2:$A$20,0))</f>
        <v>43845</v>
      </c>
      <c r="G12" s="71">
        <f>INDEX('5a. Bond info'!F$2:F$20,MATCH($B12,'5a. Bond info'!$A$2:$A$20,0))</f>
        <v>43480</v>
      </c>
      <c r="H12" s="71">
        <f>INDEX('5a. Bond info'!G$2:G$20,MATCH($B12,'5a. Bond info'!$A$2:$A$20,0))</f>
        <v>43661</v>
      </c>
      <c r="I12" s="71">
        <f t="shared" si="1"/>
        <v>43480</v>
      </c>
      <c r="J12" s="71">
        <f t="shared" si="2"/>
        <v>43296</v>
      </c>
      <c r="K12" s="71">
        <f t="shared" si="0"/>
        <v>43297</v>
      </c>
      <c r="L12" s="71">
        <v>43297</v>
      </c>
      <c r="M12" s="71">
        <v>43327</v>
      </c>
      <c r="N12" s="77">
        <v>-2.7825778298301001E-3</v>
      </c>
      <c r="O12" s="77">
        <f>IF(ISNA(INDEX('5b. Spot rates'!$C$2:$C$1000,MATCH(L12,'5b. Spot rates'!$A$2:$A$1000,0))+N12),0,INDEX('5b. Spot rates'!$C$2:$C$1000,MATCH(L12,'5b. Spot rates'!$A$2:$A$1000,0))+N12)</f>
        <v>6.4550722170169897E-2</v>
      </c>
      <c r="P12" s="54">
        <f t="shared" si="3"/>
        <v>5305.5388085071145</v>
      </c>
    </row>
    <row r="13" spans="1:16" x14ac:dyDescent="0.3">
      <c r="A13" s="53">
        <v>12</v>
      </c>
      <c r="B13" s="76" t="s">
        <v>55</v>
      </c>
      <c r="C13" s="54">
        <v>1000000</v>
      </c>
      <c r="D13" s="77">
        <f>INDEX('5a. Bond info'!C$2:C$20,MATCH($B13,'5a. Bond info'!$A$2:$A$20,0))</f>
        <v>7.2499999999999995E-2</v>
      </c>
      <c r="E13" s="53">
        <f>INDEX('5a. Bond info'!D$2:D$20,MATCH($B13,'5a. Bond info'!$A$2:$A$20,0))</f>
        <v>2</v>
      </c>
      <c r="F13" s="71">
        <f>INDEX('5a. Bond info'!E$2:E$20,MATCH($B13,'5a. Bond info'!$A$2:$A$20,0))</f>
        <v>43845</v>
      </c>
      <c r="G13" s="71">
        <f>INDEX('5a. Bond info'!F$2:F$20,MATCH($B13,'5a. Bond info'!$A$2:$A$20,0))</f>
        <v>43480</v>
      </c>
      <c r="H13" s="71">
        <f>INDEX('5a. Bond info'!G$2:G$20,MATCH($B13,'5a. Bond info'!$A$2:$A$20,0))</f>
        <v>43661</v>
      </c>
      <c r="I13" s="71">
        <f t="shared" si="1"/>
        <v>43480</v>
      </c>
      <c r="J13" s="71">
        <f t="shared" si="2"/>
        <v>43296</v>
      </c>
      <c r="K13" s="71">
        <f t="shared" si="0"/>
        <v>43297</v>
      </c>
      <c r="L13" s="71">
        <v>43297</v>
      </c>
      <c r="M13" s="71">
        <v>43327</v>
      </c>
      <c r="N13" s="77">
        <v>-2.7825778298301001E-3</v>
      </c>
      <c r="O13" s="77">
        <f>IF(ISNA(INDEX('5b. Spot rates'!$C$2:$C$1000,MATCH(L13,'5b. Spot rates'!$A$2:$A$1000,0))+N13),0,INDEX('5b. Spot rates'!$C$2:$C$1000,MATCH(L13,'5b. Spot rates'!$A$2:$A$1000,0))+N13)</f>
        <v>6.4550722170169897E-2</v>
      </c>
      <c r="P13" s="54">
        <f t="shared" si="3"/>
        <v>5305.5388085071145</v>
      </c>
    </row>
    <row r="14" spans="1:16" x14ac:dyDescent="0.3">
      <c r="A14" s="53">
        <v>13</v>
      </c>
      <c r="B14" s="76" t="s">
        <v>55</v>
      </c>
      <c r="C14" s="54">
        <v>1000000</v>
      </c>
      <c r="D14" s="77">
        <f>INDEX('5a. Bond info'!C$2:C$20,MATCH($B14,'5a. Bond info'!$A$2:$A$20,0))</f>
        <v>7.2499999999999995E-2</v>
      </c>
      <c r="E14" s="53">
        <f>INDEX('5a. Bond info'!D$2:D$20,MATCH($B14,'5a. Bond info'!$A$2:$A$20,0))</f>
        <v>2</v>
      </c>
      <c r="F14" s="71">
        <f>INDEX('5a. Bond info'!E$2:E$20,MATCH($B14,'5a. Bond info'!$A$2:$A$20,0))</f>
        <v>43845</v>
      </c>
      <c r="G14" s="71">
        <f>INDEX('5a. Bond info'!F$2:F$20,MATCH($B14,'5a. Bond info'!$A$2:$A$20,0))</f>
        <v>43480</v>
      </c>
      <c r="H14" s="71">
        <f>INDEX('5a. Bond info'!G$2:G$20,MATCH($B14,'5a. Bond info'!$A$2:$A$20,0))</f>
        <v>43661</v>
      </c>
      <c r="I14" s="71">
        <f t="shared" si="1"/>
        <v>43480</v>
      </c>
      <c r="J14" s="71">
        <f t="shared" si="2"/>
        <v>43296</v>
      </c>
      <c r="K14" s="71">
        <f t="shared" si="0"/>
        <v>43297</v>
      </c>
      <c r="L14" s="71">
        <v>43297</v>
      </c>
      <c r="M14" s="71">
        <v>43327</v>
      </c>
      <c r="N14" s="77">
        <v>-2.7825778298301001E-3</v>
      </c>
      <c r="O14" s="77">
        <f>IF(ISNA(INDEX('5b. Spot rates'!$C$2:$C$1000,MATCH(L14,'5b. Spot rates'!$A$2:$A$1000,0))+N14),0,INDEX('5b. Spot rates'!$C$2:$C$1000,MATCH(L14,'5b. Spot rates'!$A$2:$A$1000,0))+N14)</f>
        <v>6.4550722170169897E-2</v>
      </c>
      <c r="P14" s="54">
        <f t="shared" si="3"/>
        <v>5305.5388085071145</v>
      </c>
    </row>
    <row r="15" spans="1:16" x14ac:dyDescent="0.3">
      <c r="A15" s="53">
        <v>14</v>
      </c>
      <c r="B15" s="76" t="s">
        <v>55</v>
      </c>
      <c r="C15" s="54">
        <v>1000000</v>
      </c>
      <c r="D15" s="77">
        <f>INDEX('5a. Bond info'!C$2:C$20,MATCH($B15,'5a. Bond info'!$A$2:$A$20,0))</f>
        <v>7.2499999999999995E-2</v>
      </c>
      <c r="E15" s="53">
        <f>INDEX('5a. Bond info'!D$2:D$20,MATCH($B15,'5a. Bond info'!$A$2:$A$20,0))</f>
        <v>2</v>
      </c>
      <c r="F15" s="71">
        <f>INDEX('5a. Bond info'!E$2:E$20,MATCH($B15,'5a. Bond info'!$A$2:$A$20,0))</f>
        <v>43845</v>
      </c>
      <c r="G15" s="71">
        <f>INDEX('5a. Bond info'!F$2:F$20,MATCH($B15,'5a. Bond info'!$A$2:$A$20,0))</f>
        <v>43480</v>
      </c>
      <c r="H15" s="71">
        <f>INDEX('5a. Bond info'!G$2:G$20,MATCH($B15,'5a. Bond info'!$A$2:$A$20,0))</f>
        <v>43661</v>
      </c>
      <c r="I15" s="71">
        <f t="shared" si="1"/>
        <v>43480</v>
      </c>
      <c r="J15" s="71">
        <f t="shared" si="2"/>
        <v>43296</v>
      </c>
      <c r="K15" s="71">
        <f t="shared" si="0"/>
        <v>43297</v>
      </c>
      <c r="L15" s="71">
        <v>43297</v>
      </c>
      <c r="M15" s="71">
        <v>43327</v>
      </c>
      <c r="N15" s="77">
        <v>-2.7825778298301001E-3</v>
      </c>
      <c r="O15" s="77">
        <f>IF(ISNA(INDEX('5b. Spot rates'!$C$2:$C$1000,MATCH(L15,'5b. Spot rates'!$A$2:$A$1000,0))+N15),0,INDEX('5b. Spot rates'!$C$2:$C$1000,MATCH(L15,'5b. Spot rates'!$A$2:$A$1000,0))+N15)</f>
        <v>6.4550722170169897E-2</v>
      </c>
      <c r="P15" s="54">
        <f t="shared" si="3"/>
        <v>5305.5388085071145</v>
      </c>
    </row>
    <row r="16" spans="1:16" x14ac:dyDescent="0.3">
      <c r="A16" s="53">
        <v>15</v>
      </c>
      <c r="B16" s="76" t="s">
        <v>55</v>
      </c>
      <c r="C16" s="54">
        <v>1000000</v>
      </c>
      <c r="D16" s="77">
        <f>INDEX('5a. Bond info'!C$2:C$20,MATCH($B16,'5a. Bond info'!$A$2:$A$20,0))</f>
        <v>7.2499999999999995E-2</v>
      </c>
      <c r="E16" s="53">
        <f>INDEX('5a. Bond info'!D$2:D$20,MATCH($B16,'5a. Bond info'!$A$2:$A$20,0))</f>
        <v>2</v>
      </c>
      <c r="F16" s="71">
        <f>INDEX('5a. Bond info'!E$2:E$20,MATCH($B16,'5a. Bond info'!$A$2:$A$20,0))</f>
        <v>43845</v>
      </c>
      <c r="G16" s="71">
        <f>INDEX('5a. Bond info'!F$2:F$20,MATCH($B16,'5a. Bond info'!$A$2:$A$20,0))</f>
        <v>43480</v>
      </c>
      <c r="H16" s="71">
        <f>INDEX('5a. Bond info'!G$2:G$20,MATCH($B16,'5a. Bond info'!$A$2:$A$20,0))</f>
        <v>43661</v>
      </c>
      <c r="I16" s="71">
        <f t="shared" si="1"/>
        <v>43480</v>
      </c>
      <c r="J16" s="71">
        <f t="shared" si="2"/>
        <v>43296</v>
      </c>
      <c r="K16" s="71">
        <f t="shared" si="0"/>
        <v>43297</v>
      </c>
      <c r="L16" s="71">
        <v>43297</v>
      </c>
      <c r="M16" s="71">
        <v>43327</v>
      </c>
      <c r="N16" s="77">
        <v>-2.7825778298301001E-3</v>
      </c>
      <c r="O16" s="77">
        <f>IF(ISNA(INDEX('5b. Spot rates'!$C$2:$C$1000,MATCH(L16,'5b. Spot rates'!$A$2:$A$1000,0))+N16),0,INDEX('5b. Spot rates'!$C$2:$C$1000,MATCH(L16,'5b. Spot rates'!$A$2:$A$1000,0))+N16)</f>
        <v>6.4550722170169897E-2</v>
      </c>
      <c r="P16" s="54">
        <f t="shared" si="3"/>
        <v>5305.5388085071145</v>
      </c>
    </row>
    <row r="17" spans="1:16" x14ac:dyDescent="0.3">
      <c r="A17" s="53">
        <v>16</v>
      </c>
      <c r="B17" s="76" t="s">
        <v>55</v>
      </c>
      <c r="C17" s="54">
        <v>1000000</v>
      </c>
      <c r="D17" s="77">
        <f>INDEX('5a. Bond info'!C$2:C$20,MATCH($B17,'5a. Bond info'!$A$2:$A$20,0))</f>
        <v>7.2499999999999995E-2</v>
      </c>
      <c r="E17" s="53">
        <f>INDEX('5a. Bond info'!D$2:D$20,MATCH($B17,'5a. Bond info'!$A$2:$A$20,0))</f>
        <v>2</v>
      </c>
      <c r="F17" s="71">
        <f>INDEX('5a. Bond info'!E$2:E$20,MATCH($B17,'5a. Bond info'!$A$2:$A$20,0))</f>
        <v>43845</v>
      </c>
      <c r="G17" s="71">
        <f>INDEX('5a. Bond info'!F$2:F$20,MATCH($B17,'5a. Bond info'!$A$2:$A$20,0))</f>
        <v>43480</v>
      </c>
      <c r="H17" s="71">
        <f>INDEX('5a. Bond info'!G$2:G$20,MATCH($B17,'5a. Bond info'!$A$2:$A$20,0))</f>
        <v>43661</v>
      </c>
      <c r="I17" s="71">
        <f t="shared" si="1"/>
        <v>43480</v>
      </c>
      <c r="J17" s="71">
        <f t="shared" si="2"/>
        <v>43296</v>
      </c>
      <c r="K17" s="71">
        <f t="shared" si="0"/>
        <v>43297</v>
      </c>
      <c r="L17" s="71">
        <v>43297</v>
      </c>
      <c r="M17" s="71">
        <v>43327</v>
      </c>
      <c r="N17" s="77">
        <v>-2.7825778298301001E-3</v>
      </c>
      <c r="O17" s="77">
        <f>IF(ISNA(INDEX('5b. Spot rates'!$C$2:$C$1000,MATCH(L17,'5b. Spot rates'!$A$2:$A$1000,0))+N17),0,INDEX('5b. Spot rates'!$C$2:$C$1000,MATCH(L17,'5b. Spot rates'!$A$2:$A$1000,0))+N17)</f>
        <v>6.4550722170169897E-2</v>
      </c>
      <c r="P17" s="54">
        <f t="shared" si="3"/>
        <v>5305.5388085071145</v>
      </c>
    </row>
    <row r="18" spans="1:16" x14ac:dyDescent="0.3">
      <c r="A18" s="53">
        <v>17</v>
      </c>
      <c r="B18" s="76" t="s">
        <v>55</v>
      </c>
      <c r="C18" s="54">
        <v>1000000</v>
      </c>
      <c r="D18" s="77">
        <f>INDEX('5a. Bond info'!C$2:C$20,MATCH($B18,'5a. Bond info'!$A$2:$A$20,0))</f>
        <v>7.2499999999999995E-2</v>
      </c>
      <c r="E18" s="53">
        <f>INDEX('5a. Bond info'!D$2:D$20,MATCH($B18,'5a. Bond info'!$A$2:$A$20,0))</f>
        <v>2</v>
      </c>
      <c r="F18" s="71">
        <f>INDEX('5a. Bond info'!E$2:E$20,MATCH($B18,'5a. Bond info'!$A$2:$A$20,0))</f>
        <v>43845</v>
      </c>
      <c r="G18" s="71">
        <f>INDEX('5a. Bond info'!F$2:F$20,MATCH($B18,'5a. Bond info'!$A$2:$A$20,0))</f>
        <v>43480</v>
      </c>
      <c r="H18" s="71">
        <f>INDEX('5a. Bond info'!G$2:G$20,MATCH($B18,'5a. Bond info'!$A$2:$A$20,0))</f>
        <v>43661</v>
      </c>
      <c r="I18" s="71">
        <f t="shared" si="1"/>
        <v>43480</v>
      </c>
      <c r="J18" s="71">
        <f t="shared" si="2"/>
        <v>43296</v>
      </c>
      <c r="K18" s="71">
        <f t="shared" si="0"/>
        <v>43297</v>
      </c>
      <c r="L18" s="71">
        <v>43297</v>
      </c>
      <c r="M18" s="71">
        <v>43327</v>
      </c>
      <c r="N18" s="77">
        <v>-2.7825778298301001E-3</v>
      </c>
      <c r="O18" s="77">
        <f>IF(ISNA(INDEX('5b. Spot rates'!$C$2:$C$1000,MATCH(L18,'5b. Spot rates'!$A$2:$A$1000,0))+N18),0,INDEX('5b. Spot rates'!$C$2:$C$1000,MATCH(L18,'5b. Spot rates'!$A$2:$A$1000,0))+N18)</f>
        <v>6.4550722170169897E-2</v>
      </c>
      <c r="P18" s="54">
        <f t="shared" si="3"/>
        <v>5305.5388085071145</v>
      </c>
    </row>
    <row r="19" spans="1:16" x14ac:dyDescent="0.3">
      <c r="A19" s="53">
        <v>18</v>
      </c>
      <c r="B19" s="76" t="s">
        <v>55</v>
      </c>
      <c r="C19" s="54">
        <v>1000000</v>
      </c>
      <c r="D19" s="77">
        <f>INDEX('5a. Bond info'!C$2:C$20,MATCH($B19,'5a. Bond info'!$A$2:$A$20,0))</f>
        <v>7.2499999999999995E-2</v>
      </c>
      <c r="E19" s="53">
        <f>INDEX('5a. Bond info'!D$2:D$20,MATCH($B19,'5a. Bond info'!$A$2:$A$20,0))</f>
        <v>2</v>
      </c>
      <c r="F19" s="71">
        <f>INDEX('5a. Bond info'!E$2:E$20,MATCH($B19,'5a. Bond info'!$A$2:$A$20,0))</f>
        <v>43845</v>
      </c>
      <c r="G19" s="71">
        <f>INDEX('5a. Bond info'!F$2:F$20,MATCH($B19,'5a. Bond info'!$A$2:$A$20,0))</f>
        <v>43480</v>
      </c>
      <c r="H19" s="71">
        <f>INDEX('5a. Bond info'!G$2:G$20,MATCH($B19,'5a. Bond info'!$A$2:$A$20,0))</f>
        <v>43661</v>
      </c>
      <c r="I19" s="71">
        <f t="shared" si="1"/>
        <v>43480</v>
      </c>
      <c r="J19" s="71">
        <f t="shared" si="2"/>
        <v>43296</v>
      </c>
      <c r="K19" s="71">
        <f t="shared" si="0"/>
        <v>43297</v>
      </c>
      <c r="L19" s="71">
        <v>43297</v>
      </c>
      <c r="M19" s="71">
        <v>43327</v>
      </c>
      <c r="N19" s="77">
        <v>-2.7825778298301001E-3</v>
      </c>
      <c r="O19" s="77">
        <f>IF(ISNA(INDEX('5b. Spot rates'!$C$2:$C$1000,MATCH(L19,'5b. Spot rates'!$A$2:$A$1000,0))+N19),0,INDEX('5b. Spot rates'!$C$2:$C$1000,MATCH(L19,'5b. Spot rates'!$A$2:$A$1000,0))+N19)</f>
        <v>6.4550722170169897E-2</v>
      </c>
      <c r="P19" s="54">
        <f t="shared" si="3"/>
        <v>5305.5388085071145</v>
      </c>
    </row>
    <row r="20" spans="1:16" x14ac:dyDescent="0.3">
      <c r="A20" s="53">
        <v>19</v>
      </c>
      <c r="B20" s="76" t="s">
        <v>55</v>
      </c>
      <c r="C20" s="54">
        <v>1000000</v>
      </c>
      <c r="D20" s="77">
        <f>INDEX('5a. Bond info'!C$2:C$20,MATCH($B20,'5a. Bond info'!$A$2:$A$20,0))</f>
        <v>7.2499999999999995E-2</v>
      </c>
      <c r="E20" s="53">
        <f>INDEX('5a. Bond info'!D$2:D$20,MATCH($B20,'5a. Bond info'!$A$2:$A$20,0))</f>
        <v>2</v>
      </c>
      <c r="F20" s="71">
        <f>INDEX('5a. Bond info'!E$2:E$20,MATCH($B20,'5a. Bond info'!$A$2:$A$20,0))</f>
        <v>43845</v>
      </c>
      <c r="G20" s="71">
        <f>INDEX('5a. Bond info'!F$2:F$20,MATCH($B20,'5a. Bond info'!$A$2:$A$20,0))</f>
        <v>43480</v>
      </c>
      <c r="H20" s="71">
        <f>INDEX('5a. Bond info'!G$2:G$20,MATCH($B20,'5a. Bond info'!$A$2:$A$20,0))</f>
        <v>43661</v>
      </c>
      <c r="I20" s="71">
        <f t="shared" si="1"/>
        <v>43480</v>
      </c>
      <c r="J20" s="71">
        <f t="shared" si="2"/>
        <v>43296</v>
      </c>
      <c r="K20" s="71">
        <f t="shared" si="0"/>
        <v>43297</v>
      </c>
      <c r="L20" s="71">
        <v>43297</v>
      </c>
      <c r="M20" s="71">
        <v>43327</v>
      </c>
      <c r="N20" s="77">
        <v>-2.7825778298301001E-3</v>
      </c>
      <c r="O20" s="77">
        <f>IF(ISNA(INDEX('5b. Spot rates'!$C$2:$C$1000,MATCH(L20,'5b. Spot rates'!$A$2:$A$1000,0))+N20),0,INDEX('5b. Spot rates'!$C$2:$C$1000,MATCH(L20,'5b. Spot rates'!$A$2:$A$1000,0))+N20)</f>
        <v>6.4550722170169897E-2</v>
      </c>
      <c r="P20" s="54">
        <f t="shared" si="3"/>
        <v>5305.5388085071145</v>
      </c>
    </row>
    <row r="21" spans="1:16" x14ac:dyDescent="0.3">
      <c r="A21" s="53">
        <v>20</v>
      </c>
      <c r="B21" s="76" t="s">
        <v>55</v>
      </c>
      <c r="C21" s="54">
        <v>1000000</v>
      </c>
      <c r="D21" s="77">
        <f>INDEX('5a. Bond info'!C$2:C$20,MATCH($B21,'5a. Bond info'!$A$2:$A$20,0))</f>
        <v>7.2499999999999995E-2</v>
      </c>
      <c r="E21" s="53">
        <f>INDEX('5a. Bond info'!D$2:D$20,MATCH($B21,'5a. Bond info'!$A$2:$A$20,0))</f>
        <v>2</v>
      </c>
      <c r="F21" s="71">
        <f>INDEX('5a. Bond info'!E$2:E$20,MATCH($B21,'5a. Bond info'!$A$2:$A$20,0))</f>
        <v>43845</v>
      </c>
      <c r="G21" s="71">
        <f>INDEX('5a. Bond info'!F$2:F$20,MATCH($B21,'5a. Bond info'!$A$2:$A$20,0))</f>
        <v>43480</v>
      </c>
      <c r="H21" s="71">
        <f>INDEX('5a. Bond info'!G$2:G$20,MATCH($B21,'5a. Bond info'!$A$2:$A$20,0))</f>
        <v>43661</v>
      </c>
      <c r="I21" s="71">
        <f t="shared" si="1"/>
        <v>43480</v>
      </c>
      <c r="J21" s="71">
        <f t="shared" si="2"/>
        <v>43296</v>
      </c>
      <c r="K21" s="71">
        <f t="shared" si="0"/>
        <v>43297</v>
      </c>
      <c r="L21" s="71">
        <v>43297</v>
      </c>
      <c r="M21" s="71">
        <v>43327</v>
      </c>
      <c r="N21" s="77">
        <v>-2.7825778298301001E-3</v>
      </c>
      <c r="O21" s="77">
        <f>IF(ISNA(INDEX('5b. Spot rates'!$C$2:$C$1000,MATCH(L21,'5b. Spot rates'!$A$2:$A$1000,0))+N21),0,INDEX('5b. Spot rates'!$C$2:$C$1000,MATCH(L21,'5b. Spot rates'!$A$2:$A$1000,0))+N21)</f>
        <v>6.4550722170169897E-2</v>
      </c>
      <c r="P21" s="54">
        <f t="shared" si="3"/>
        <v>5305.5388085071145</v>
      </c>
    </row>
    <row r="22" spans="1:16" x14ac:dyDescent="0.3">
      <c r="A22" s="53">
        <v>21</v>
      </c>
      <c r="B22" s="76" t="s">
        <v>58</v>
      </c>
      <c r="C22" s="54">
        <v>1000000</v>
      </c>
      <c r="D22" s="77">
        <f>INDEX('5a. Bond info'!C$2:C$20,MATCH($B22,'5a. Bond info'!$A$2:$A$20,0))</f>
        <v>0.105</v>
      </c>
      <c r="E22" s="53">
        <f>INDEX('5a. Bond info'!D$2:D$20,MATCH($B22,'5a. Bond info'!$A$2:$A$20,0))</f>
        <v>10</v>
      </c>
      <c r="F22" s="71">
        <f>INDEX('5a. Bond info'!E$2:E$20,MATCH($B22,'5a. Bond info'!$A$2:$A$20,0))</f>
        <v>46742</v>
      </c>
      <c r="G22" s="71">
        <f>INDEX('5a. Bond info'!F$2:F$20,MATCH($B22,'5a. Bond info'!$A$2:$A$20,0))</f>
        <v>43637</v>
      </c>
      <c r="H22" s="71">
        <f>INDEX('5a. Bond info'!G$2:G$20,MATCH($B22,'5a. Bond info'!$A$2:$A$20,0))</f>
        <v>43455</v>
      </c>
      <c r="I22" s="71">
        <f t="shared" si="1"/>
        <v>43455</v>
      </c>
      <c r="J22" s="71">
        <f t="shared" si="2"/>
        <v>43272</v>
      </c>
      <c r="K22" s="71">
        <f t="shared" si="0"/>
        <v>43272</v>
      </c>
      <c r="L22" s="71">
        <v>43304</v>
      </c>
      <c r="M22" s="71">
        <v>43333</v>
      </c>
      <c r="N22" s="77">
        <v>2.989865111840289E-2</v>
      </c>
      <c r="O22" s="77">
        <f>IF(ISNA(INDEX('5b. Spot rates'!$C$2:$C$1000,MATCH(L22,'5b. Spot rates'!$A$2:$A$1000,0))+N22),0,INDEX('5b. Spot rates'!$C$2:$C$1000,MATCH(L22,'5b. Spot rates'!$A$2:$A$1000,0))+N22)</f>
        <v>9.7231951118402882E-2</v>
      </c>
      <c r="P22" s="54">
        <f t="shared" si="3"/>
        <v>7725.2783080374902</v>
      </c>
    </row>
    <row r="23" spans="1:16" x14ac:dyDescent="0.3">
      <c r="A23" s="53">
        <v>22</v>
      </c>
      <c r="B23" s="76" t="s">
        <v>58</v>
      </c>
      <c r="C23" s="54">
        <v>1000000</v>
      </c>
      <c r="D23" s="77">
        <f>INDEX('5a. Bond info'!C$2:C$20,MATCH($B23,'5a. Bond info'!$A$2:$A$20,0))</f>
        <v>0.105</v>
      </c>
      <c r="E23" s="53">
        <f>INDEX('5a. Bond info'!D$2:D$20,MATCH($B23,'5a. Bond info'!$A$2:$A$20,0))</f>
        <v>10</v>
      </c>
      <c r="F23" s="71">
        <f>INDEX('5a. Bond info'!E$2:E$20,MATCH($B23,'5a. Bond info'!$A$2:$A$20,0))</f>
        <v>46742</v>
      </c>
      <c r="G23" s="71">
        <f>INDEX('5a. Bond info'!F$2:F$20,MATCH($B23,'5a. Bond info'!$A$2:$A$20,0))</f>
        <v>43637</v>
      </c>
      <c r="H23" s="71">
        <f>INDEX('5a. Bond info'!G$2:G$20,MATCH($B23,'5a. Bond info'!$A$2:$A$20,0))</f>
        <v>43455</v>
      </c>
      <c r="I23" s="71">
        <f t="shared" si="1"/>
        <v>43455</v>
      </c>
      <c r="J23" s="71">
        <f t="shared" si="2"/>
        <v>43272</v>
      </c>
      <c r="K23" s="71">
        <f t="shared" si="0"/>
        <v>43272</v>
      </c>
      <c r="L23" s="71">
        <v>43304</v>
      </c>
      <c r="M23" s="71">
        <v>43333</v>
      </c>
      <c r="N23" s="77">
        <v>2.989865111840289E-2</v>
      </c>
      <c r="O23" s="77">
        <f>IF(ISNA(INDEX('5b. Spot rates'!$C$2:$C$1000,MATCH(L23,'5b. Spot rates'!$A$2:$A$1000,0))+N23),0,INDEX('5b. Spot rates'!$C$2:$C$1000,MATCH(L23,'5b. Spot rates'!$A$2:$A$1000,0))+N23)</f>
        <v>9.7231951118402882E-2</v>
      </c>
      <c r="P23" s="54">
        <f t="shared" si="3"/>
        <v>7725.2783080374902</v>
      </c>
    </row>
    <row r="24" spans="1:16" x14ac:dyDescent="0.3">
      <c r="A24" s="53">
        <v>23</v>
      </c>
      <c r="B24" s="76" t="s">
        <v>58</v>
      </c>
      <c r="C24" s="54">
        <v>1000000</v>
      </c>
      <c r="D24" s="77">
        <f>INDEX('5a. Bond info'!C$2:C$20,MATCH($B24,'5a. Bond info'!$A$2:$A$20,0))</f>
        <v>0.105</v>
      </c>
      <c r="E24" s="53">
        <f>INDEX('5a. Bond info'!D$2:D$20,MATCH($B24,'5a. Bond info'!$A$2:$A$20,0))</f>
        <v>10</v>
      </c>
      <c r="F24" s="71">
        <f>INDEX('5a. Bond info'!E$2:E$20,MATCH($B24,'5a. Bond info'!$A$2:$A$20,0))</f>
        <v>46742</v>
      </c>
      <c r="G24" s="71">
        <f>INDEX('5a. Bond info'!F$2:F$20,MATCH($B24,'5a. Bond info'!$A$2:$A$20,0))</f>
        <v>43637</v>
      </c>
      <c r="H24" s="71">
        <f>INDEX('5a. Bond info'!G$2:G$20,MATCH($B24,'5a. Bond info'!$A$2:$A$20,0))</f>
        <v>43455</v>
      </c>
      <c r="I24" s="71">
        <f t="shared" si="1"/>
        <v>43455</v>
      </c>
      <c r="J24" s="71">
        <f t="shared" si="2"/>
        <v>43272</v>
      </c>
      <c r="K24" s="71">
        <f t="shared" si="0"/>
        <v>43272</v>
      </c>
      <c r="L24" s="71">
        <v>43304</v>
      </c>
      <c r="M24" s="71">
        <v>43333</v>
      </c>
      <c r="N24" s="77">
        <v>2.989865111840289E-2</v>
      </c>
      <c r="O24" s="77">
        <f>IF(ISNA(INDEX('5b. Spot rates'!$C$2:$C$1000,MATCH(L24,'5b. Spot rates'!$A$2:$A$1000,0))+N24),0,INDEX('5b. Spot rates'!$C$2:$C$1000,MATCH(L24,'5b. Spot rates'!$A$2:$A$1000,0))+N24)</f>
        <v>9.7231951118402882E-2</v>
      </c>
      <c r="P24" s="54">
        <f t="shared" si="3"/>
        <v>7725.2783080374902</v>
      </c>
    </row>
    <row r="25" spans="1:16" x14ac:dyDescent="0.3">
      <c r="A25" s="53">
        <v>24</v>
      </c>
      <c r="B25" s="76" t="s">
        <v>58</v>
      </c>
      <c r="C25" s="54">
        <v>1000000</v>
      </c>
      <c r="D25" s="77">
        <f>INDEX('5a. Bond info'!C$2:C$20,MATCH($B25,'5a. Bond info'!$A$2:$A$20,0))</f>
        <v>0.105</v>
      </c>
      <c r="E25" s="53">
        <f>INDEX('5a. Bond info'!D$2:D$20,MATCH($B25,'5a. Bond info'!$A$2:$A$20,0))</f>
        <v>10</v>
      </c>
      <c r="F25" s="71">
        <f>INDEX('5a. Bond info'!E$2:E$20,MATCH($B25,'5a. Bond info'!$A$2:$A$20,0))</f>
        <v>46742</v>
      </c>
      <c r="G25" s="71">
        <f>INDEX('5a. Bond info'!F$2:F$20,MATCH($B25,'5a. Bond info'!$A$2:$A$20,0))</f>
        <v>43637</v>
      </c>
      <c r="H25" s="71">
        <f>INDEX('5a. Bond info'!G$2:G$20,MATCH($B25,'5a. Bond info'!$A$2:$A$20,0))</f>
        <v>43455</v>
      </c>
      <c r="I25" s="71">
        <f t="shared" si="1"/>
        <v>43455</v>
      </c>
      <c r="J25" s="71">
        <f t="shared" si="2"/>
        <v>43272</v>
      </c>
      <c r="K25" s="71">
        <f t="shared" si="0"/>
        <v>43272</v>
      </c>
      <c r="L25" s="71">
        <v>43304</v>
      </c>
      <c r="M25" s="71">
        <v>43333</v>
      </c>
      <c r="N25" s="77">
        <v>2.989865111840289E-2</v>
      </c>
      <c r="O25" s="77">
        <f>IF(ISNA(INDEX('5b. Spot rates'!$C$2:$C$1000,MATCH(L25,'5b. Spot rates'!$A$2:$A$1000,0))+N25),0,INDEX('5b. Spot rates'!$C$2:$C$1000,MATCH(L25,'5b. Spot rates'!$A$2:$A$1000,0))+N25)</f>
        <v>9.7231951118402882E-2</v>
      </c>
      <c r="P25" s="54">
        <f t="shared" si="3"/>
        <v>7725.2783080374902</v>
      </c>
    </row>
    <row r="26" spans="1:16" x14ac:dyDescent="0.3">
      <c r="A26" s="53">
        <v>25</v>
      </c>
      <c r="B26" s="76" t="s">
        <v>58</v>
      </c>
      <c r="C26" s="54">
        <v>1000000</v>
      </c>
      <c r="D26" s="77">
        <f>INDEX('5a. Bond info'!C$2:C$20,MATCH($B26,'5a. Bond info'!$A$2:$A$20,0))</f>
        <v>0.105</v>
      </c>
      <c r="E26" s="53">
        <f>INDEX('5a. Bond info'!D$2:D$20,MATCH($B26,'5a. Bond info'!$A$2:$A$20,0))</f>
        <v>10</v>
      </c>
      <c r="F26" s="71">
        <f>INDEX('5a. Bond info'!E$2:E$20,MATCH($B26,'5a. Bond info'!$A$2:$A$20,0))</f>
        <v>46742</v>
      </c>
      <c r="G26" s="71">
        <f>INDEX('5a. Bond info'!F$2:F$20,MATCH($B26,'5a. Bond info'!$A$2:$A$20,0))</f>
        <v>43637</v>
      </c>
      <c r="H26" s="71">
        <f>INDEX('5a. Bond info'!G$2:G$20,MATCH($B26,'5a. Bond info'!$A$2:$A$20,0))</f>
        <v>43455</v>
      </c>
      <c r="I26" s="71">
        <f t="shared" si="1"/>
        <v>43455</v>
      </c>
      <c r="J26" s="71">
        <f t="shared" si="2"/>
        <v>43272</v>
      </c>
      <c r="K26" s="71">
        <f t="shared" si="0"/>
        <v>43272</v>
      </c>
      <c r="L26" s="71">
        <v>43304</v>
      </c>
      <c r="M26" s="71">
        <v>43333</v>
      </c>
      <c r="N26" s="77">
        <v>2.989865111840289E-2</v>
      </c>
      <c r="O26" s="77">
        <f>IF(ISNA(INDEX('5b. Spot rates'!$C$2:$C$1000,MATCH(L26,'5b. Spot rates'!$A$2:$A$1000,0))+N26),0,INDEX('5b. Spot rates'!$C$2:$C$1000,MATCH(L26,'5b. Spot rates'!$A$2:$A$1000,0))+N26)</f>
        <v>9.7231951118402882E-2</v>
      </c>
      <c r="P26" s="54">
        <f t="shared" si="3"/>
        <v>7725.2783080374902</v>
      </c>
    </row>
    <row r="27" spans="1:16" x14ac:dyDescent="0.3">
      <c r="A27" s="53">
        <v>26</v>
      </c>
      <c r="B27" s="76" t="s">
        <v>58</v>
      </c>
      <c r="C27" s="54">
        <v>1000000</v>
      </c>
      <c r="D27" s="77">
        <f>INDEX('5a. Bond info'!C$2:C$20,MATCH($B27,'5a. Bond info'!$A$2:$A$20,0))</f>
        <v>0.105</v>
      </c>
      <c r="E27" s="53">
        <f>INDEX('5a. Bond info'!D$2:D$20,MATCH($B27,'5a. Bond info'!$A$2:$A$20,0))</f>
        <v>10</v>
      </c>
      <c r="F27" s="71">
        <f>INDEX('5a. Bond info'!E$2:E$20,MATCH($B27,'5a. Bond info'!$A$2:$A$20,0))</f>
        <v>46742</v>
      </c>
      <c r="G27" s="71">
        <f>INDEX('5a. Bond info'!F$2:F$20,MATCH($B27,'5a. Bond info'!$A$2:$A$20,0))</f>
        <v>43637</v>
      </c>
      <c r="H27" s="71">
        <f>INDEX('5a. Bond info'!G$2:G$20,MATCH($B27,'5a. Bond info'!$A$2:$A$20,0))</f>
        <v>43455</v>
      </c>
      <c r="I27" s="71">
        <f t="shared" si="1"/>
        <v>43455</v>
      </c>
      <c r="J27" s="71">
        <f t="shared" si="2"/>
        <v>43272</v>
      </c>
      <c r="K27" s="71">
        <f t="shared" si="0"/>
        <v>43272</v>
      </c>
      <c r="L27" s="71">
        <v>43304</v>
      </c>
      <c r="M27" s="71">
        <v>43333</v>
      </c>
      <c r="N27" s="77">
        <v>2.989865111840289E-2</v>
      </c>
      <c r="O27" s="77">
        <f>IF(ISNA(INDEX('5b. Spot rates'!$C$2:$C$1000,MATCH(L27,'5b. Spot rates'!$A$2:$A$1000,0))+N27),0,INDEX('5b. Spot rates'!$C$2:$C$1000,MATCH(L27,'5b. Spot rates'!$A$2:$A$1000,0))+N27)</f>
        <v>9.7231951118402882E-2</v>
      </c>
      <c r="P27" s="54">
        <f t="shared" si="3"/>
        <v>7725.2783080374902</v>
      </c>
    </row>
    <row r="28" spans="1:16" x14ac:dyDescent="0.3">
      <c r="A28" s="53">
        <v>27</v>
      </c>
      <c r="B28" s="76" t="s">
        <v>58</v>
      </c>
      <c r="C28" s="54">
        <v>1000000</v>
      </c>
      <c r="D28" s="77">
        <f>INDEX('5a. Bond info'!C$2:C$20,MATCH($B28,'5a. Bond info'!$A$2:$A$20,0))</f>
        <v>0.105</v>
      </c>
      <c r="E28" s="53">
        <f>INDEX('5a. Bond info'!D$2:D$20,MATCH($B28,'5a. Bond info'!$A$2:$A$20,0))</f>
        <v>10</v>
      </c>
      <c r="F28" s="71">
        <f>INDEX('5a. Bond info'!E$2:E$20,MATCH($B28,'5a. Bond info'!$A$2:$A$20,0))</f>
        <v>46742</v>
      </c>
      <c r="G28" s="71">
        <f>INDEX('5a. Bond info'!F$2:F$20,MATCH($B28,'5a. Bond info'!$A$2:$A$20,0))</f>
        <v>43637</v>
      </c>
      <c r="H28" s="71">
        <f>INDEX('5a. Bond info'!G$2:G$20,MATCH($B28,'5a. Bond info'!$A$2:$A$20,0))</f>
        <v>43455</v>
      </c>
      <c r="I28" s="71">
        <f t="shared" si="1"/>
        <v>43455</v>
      </c>
      <c r="J28" s="71">
        <f t="shared" si="2"/>
        <v>43272</v>
      </c>
      <c r="K28" s="71">
        <f t="shared" si="0"/>
        <v>43272</v>
      </c>
      <c r="L28" s="71">
        <v>43304</v>
      </c>
      <c r="M28" s="71">
        <v>43333</v>
      </c>
      <c r="N28" s="77">
        <v>2.989865111840289E-2</v>
      </c>
      <c r="O28" s="77">
        <f>IF(ISNA(INDEX('5b. Spot rates'!$C$2:$C$1000,MATCH(L28,'5b. Spot rates'!$A$2:$A$1000,0))+N28),0,INDEX('5b. Spot rates'!$C$2:$C$1000,MATCH(L28,'5b. Spot rates'!$A$2:$A$1000,0))+N28)</f>
        <v>9.7231951118402882E-2</v>
      </c>
      <c r="P28" s="54">
        <f t="shared" si="3"/>
        <v>7725.2783080374902</v>
      </c>
    </row>
    <row r="29" spans="1:16" x14ac:dyDescent="0.3">
      <c r="A29" s="53">
        <v>28</v>
      </c>
      <c r="B29" s="76" t="s">
        <v>58</v>
      </c>
      <c r="C29" s="54">
        <v>1000000</v>
      </c>
      <c r="D29" s="77">
        <f>INDEX('5a. Bond info'!C$2:C$20,MATCH($B29,'5a. Bond info'!$A$2:$A$20,0))</f>
        <v>0.105</v>
      </c>
      <c r="E29" s="53">
        <f>INDEX('5a. Bond info'!D$2:D$20,MATCH($B29,'5a. Bond info'!$A$2:$A$20,0))</f>
        <v>10</v>
      </c>
      <c r="F29" s="71">
        <f>INDEX('5a. Bond info'!E$2:E$20,MATCH($B29,'5a. Bond info'!$A$2:$A$20,0))</f>
        <v>46742</v>
      </c>
      <c r="G29" s="71">
        <f>INDEX('5a. Bond info'!F$2:F$20,MATCH($B29,'5a. Bond info'!$A$2:$A$20,0))</f>
        <v>43637</v>
      </c>
      <c r="H29" s="71">
        <f>INDEX('5a. Bond info'!G$2:G$20,MATCH($B29,'5a. Bond info'!$A$2:$A$20,0))</f>
        <v>43455</v>
      </c>
      <c r="I29" s="71">
        <f t="shared" si="1"/>
        <v>43455</v>
      </c>
      <c r="J29" s="71">
        <f t="shared" si="2"/>
        <v>43272</v>
      </c>
      <c r="K29" s="71">
        <f t="shared" si="0"/>
        <v>43272</v>
      </c>
      <c r="L29" s="71">
        <v>43304</v>
      </c>
      <c r="M29" s="71">
        <v>43333</v>
      </c>
      <c r="N29" s="77">
        <v>2.989865111840289E-2</v>
      </c>
      <c r="O29" s="77">
        <f>IF(ISNA(INDEX('5b. Spot rates'!$C$2:$C$1000,MATCH(L29,'5b. Spot rates'!$A$2:$A$1000,0))+N29),0,INDEX('5b. Spot rates'!$C$2:$C$1000,MATCH(L29,'5b. Spot rates'!$A$2:$A$1000,0))+N29)</f>
        <v>9.7231951118402882E-2</v>
      </c>
      <c r="P29" s="54">
        <f t="shared" si="3"/>
        <v>7725.2783080374902</v>
      </c>
    </row>
    <row r="30" spans="1:16" x14ac:dyDescent="0.3">
      <c r="A30" s="53">
        <v>29</v>
      </c>
      <c r="B30" s="76" t="s">
        <v>58</v>
      </c>
      <c r="C30" s="54">
        <v>1000000</v>
      </c>
      <c r="D30" s="77">
        <f>INDEX('5a. Bond info'!C$2:C$20,MATCH($B30,'5a. Bond info'!$A$2:$A$20,0))</f>
        <v>0.105</v>
      </c>
      <c r="E30" s="53">
        <f>INDEX('5a. Bond info'!D$2:D$20,MATCH($B30,'5a. Bond info'!$A$2:$A$20,0))</f>
        <v>10</v>
      </c>
      <c r="F30" s="71">
        <f>INDEX('5a. Bond info'!E$2:E$20,MATCH($B30,'5a. Bond info'!$A$2:$A$20,0))</f>
        <v>46742</v>
      </c>
      <c r="G30" s="71">
        <f>INDEX('5a. Bond info'!F$2:F$20,MATCH($B30,'5a. Bond info'!$A$2:$A$20,0))</f>
        <v>43637</v>
      </c>
      <c r="H30" s="71">
        <f>INDEX('5a. Bond info'!G$2:G$20,MATCH($B30,'5a. Bond info'!$A$2:$A$20,0))</f>
        <v>43455</v>
      </c>
      <c r="I30" s="71">
        <f t="shared" si="1"/>
        <v>43455</v>
      </c>
      <c r="J30" s="71">
        <f t="shared" si="2"/>
        <v>43272</v>
      </c>
      <c r="K30" s="71">
        <f t="shared" si="0"/>
        <v>43272</v>
      </c>
      <c r="L30" s="71">
        <v>43304</v>
      </c>
      <c r="M30" s="71">
        <v>43333</v>
      </c>
      <c r="N30" s="77">
        <v>2.989865111840289E-2</v>
      </c>
      <c r="O30" s="77">
        <f>IF(ISNA(INDEX('5b. Spot rates'!$C$2:$C$1000,MATCH(L30,'5b. Spot rates'!$A$2:$A$1000,0))+N30),0,INDEX('5b. Spot rates'!$C$2:$C$1000,MATCH(L30,'5b. Spot rates'!$A$2:$A$1000,0))+N30)</f>
        <v>9.7231951118402882E-2</v>
      </c>
      <c r="P30" s="54">
        <f t="shared" si="3"/>
        <v>7725.2783080374902</v>
      </c>
    </row>
    <row r="31" spans="1:16" x14ac:dyDescent="0.3">
      <c r="A31" s="53">
        <v>30</v>
      </c>
      <c r="B31" s="76" t="s">
        <v>58</v>
      </c>
      <c r="C31" s="54">
        <v>1000000</v>
      </c>
      <c r="D31" s="77">
        <f>INDEX('5a. Bond info'!C$2:C$20,MATCH($B31,'5a. Bond info'!$A$2:$A$20,0))</f>
        <v>0.105</v>
      </c>
      <c r="E31" s="53">
        <f>INDEX('5a. Bond info'!D$2:D$20,MATCH($B31,'5a. Bond info'!$A$2:$A$20,0))</f>
        <v>10</v>
      </c>
      <c r="F31" s="71">
        <f>INDEX('5a. Bond info'!E$2:E$20,MATCH($B31,'5a. Bond info'!$A$2:$A$20,0))</f>
        <v>46742</v>
      </c>
      <c r="G31" s="71">
        <f>INDEX('5a. Bond info'!F$2:F$20,MATCH($B31,'5a. Bond info'!$A$2:$A$20,0))</f>
        <v>43637</v>
      </c>
      <c r="H31" s="71">
        <f>INDEX('5a. Bond info'!G$2:G$20,MATCH($B31,'5a. Bond info'!$A$2:$A$20,0))</f>
        <v>43455</v>
      </c>
      <c r="I31" s="71">
        <f t="shared" si="1"/>
        <v>43455</v>
      </c>
      <c r="J31" s="71">
        <f t="shared" si="2"/>
        <v>43272</v>
      </c>
      <c r="K31" s="71">
        <f t="shared" si="0"/>
        <v>43272</v>
      </c>
      <c r="L31" s="71">
        <v>43304</v>
      </c>
      <c r="M31" s="71">
        <v>43333</v>
      </c>
      <c r="N31" s="77">
        <v>2.989865111840289E-2</v>
      </c>
      <c r="O31" s="77">
        <f>IF(ISNA(INDEX('5b. Spot rates'!$C$2:$C$1000,MATCH(L31,'5b. Spot rates'!$A$2:$A$1000,0))+N31),0,INDEX('5b. Spot rates'!$C$2:$C$1000,MATCH(L31,'5b. Spot rates'!$A$2:$A$1000,0))+N31)</f>
        <v>9.7231951118402882E-2</v>
      </c>
      <c r="P31" s="54">
        <f t="shared" si="3"/>
        <v>7725.2783080374902</v>
      </c>
    </row>
    <row r="32" spans="1:16" x14ac:dyDescent="0.3">
      <c r="A32" s="53">
        <v>31</v>
      </c>
      <c r="B32" s="76" t="s">
        <v>58</v>
      </c>
      <c r="C32" s="54">
        <v>1000000</v>
      </c>
      <c r="D32" s="77">
        <f>INDEX('5a. Bond info'!C$2:C$20,MATCH($B32,'5a. Bond info'!$A$2:$A$20,0))</f>
        <v>0.105</v>
      </c>
      <c r="E32" s="53">
        <f>INDEX('5a. Bond info'!D$2:D$20,MATCH($B32,'5a. Bond info'!$A$2:$A$20,0))</f>
        <v>10</v>
      </c>
      <c r="F32" s="71">
        <f>INDEX('5a. Bond info'!E$2:E$20,MATCH($B32,'5a. Bond info'!$A$2:$A$20,0))</f>
        <v>46742</v>
      </c>
      <c r="G32" s="71">
        <f>INDEX('5a. Bond info'!F$2:F$20,MATCH($B32,'5a. Bond info'!$A$2:$A$20,0))</f>
        <v>43637</v>
      </c>
      <c r="H32" s="71">
        <f>INDEX('5a. Bond info'!G$2:G$20,MATCH($B32,'5a. Bond info'!$A$2:$A$20,0))</f>
        <v>43455</v>
      </c>
      <c r="I32" s="71">
        <f t="shared" si="1"/>
        <v>43455</v>
      </c>
      <c r="J32" s="71">
        <f t="shared" si="2"/>
        <v>43272</v>
      </c>
      <c r="K32" s="71">
        <f t="shared" si="0"/>
        <v>43272</v>
      </c>
      <c r="L32" s="71">
        <v>43304</v>
      </c>
      <c r="M32" s="71">
        <v>43333</v>
      </c>
      <c r="N32" s="77">
        <v>2.989865111840289E-2</v>
      </c>
      <c r="O32" s="77">
        <f>IF(ISNA(INDEX('5b. Spot rates'!$C$2:$C$1000,MATCH(L32,'5b. Spot rates'!$A$2:$A$1000,0))+N32),0,INDEX('5b. Spot rates'!$C$2:$C$1000,MATCH(L32,'5b. Spot rates'!$A$2:$A$1000,0))+N32)</f>
        <v>9.7231951118402882E-2</v>
      </c>
      <c r="P32" s="54">
        <f t="shared" si="3"/>
        <v>7725.2783080374902</v>
      </c>
    </row>
    <row r="33" spans="1:16" x14ac:dyDescent="0.3">
      <c r="A33" s="53">
        <v>32</v>
      </c>
      <c r="B33" s="76" t="s">
        <v>58</v>
      </c>
      <c r="C33" s="54">
        <v>1000000</v>
      </c>
      <c r="D33" s="77">
        <f>INDEX('5a. Bond info'!C$2:C$20,MATCH($B33,'5a. Bond info'!$A$2:$A$20,0))</f>
        <v>0.105</v>
      </c>
      <c r="E33" s="53">
        <f>INDEX('5a. Bond info'!D$2:D$20,MATCH($B33,'5a. Bond info'!$A$2:$A$20,0))</f>
        <v>10</v>
      </c>
      <c r="F33" s="71">
        <f>INDEX('5a. Bond info'!E$2:E$20,MATCH($B33,'5a. Bond info'!$A$2:$A$20,0))</f>
        <v>46742</v>
      </c>
      <c r="G33" s="71">
        <f>INDEX('5a. Bond info'!F$2:F$20,MATCH($B33,'5a. Bond info'!$A$2:$A$20,0))</f>
        <v>43637</v>
      </c>
      <c r="H33" s="71">
        <f>INDEX('5a. Bond info'!G$2:G$20,MATCH($B33,'5a. Bond info'!$A$2:$A$20,0))</f>
        <v>43455</v>
      </c>
      <c r="I33" s="71">
        <f t="shared" si="1"/>
        <v>43455</v>
      </c>
      <c r="J33" s="71">
        <f t="shared" si="2"/>
        <v>43272</v>
      </c>
      <c r="K33" s="71">
        <f t="shared" si="0"/>
        <v>43272</v>
      </c>
      <c r="L33" s="71">
        <v>43304</v>
      </c>
      <c r="M33" s="71">
        <v>43333</v>
      </c>
      <c r="N33" s="77">
        <v>2.989865111840289E-2</v>
      </c>
      <c r="O33" s="77">
        <f>IF(ISNA(INDEX('5b. Spot rates'!$C$2:$C$1000,MATCH(L33,'5b. Spot rates'!$A$2:$A$1000,0))+N33),0,INDEX('5b. Spot rates'!$C$2:$C$1000,MATCH(L33,'5b. Spot rates'!$A$2:$A$1000,0))+N33)</f>
        <v>9.7231951118402882E-2</v>
      </c>
      <c r="P33" s="54">
        <f t="shared" si="3"/>
        <v>7725.2783080374902</v>
      </c>
    </row>
    <row r="34" spans="1:16" x14ac:dyDescent="0.3">
      <c r="A34" s="53">
        <v>33</v>
      </c>
      <c r="B34" s="76" t="s">
        <v>58</v>
      </c>
      <c r="C34" s="54">
        <v>1000000</v>
      </c>
      <c r="D34" s="77">
        <f>INDEX('5a. Bond info'!C$2:C$20,MATCH($B34,'5a. Bond info'!$A$2:$A$20,0))</f>
        <v>0.105</v>
      </c>
      <c r="E34" s="53">
        <f>INDEX('5a. Bond info'!D$2:D$20,MATCH($B34,'5a. Bond info'!$A$2:$A$20,0))</f>
        <v>10</v>
      </c>
      <c r="F34" s="71">
        <f>INDEX('5a. Bond info'!E$2:E$20,MATCH($B34,'5a. Bond info'!$A$2:$A$20,0))</f>
        <v>46742</v>
      </c>
      <c r="G34" s="71">
        <f>INDEX('5a. Bond info'!F$2:F$20,MATCH($B34,'5a. Bond info'!$A$2:$A$20,0))</f>
        <v>43637</v>
      </c>
      <c r="H34" s="71">
        <f>INDEX('5a. Bond info'!G$2:G$20,MATCH($B34,'5a. Bond info'!$A$2:$A$20,0))</f>
        <v>43455</v>
      </c>
      <c r="I34" s="71">
        <f t="shared" si="1"/>
        <v>43455</v>
      </c>
      <c r="J34" s="71">
        <f t="shared" si="2"/>
        <v>43272</v>
      </c>
      <c r="K34" s="71">
        <f t="shared" ref="K34:K65" si="4">IF(MONTH(WORKDAY(J34-1,1,Hols))=MONTH(J34),WORKDAY(J34-1,1,Hols),WORKDAY(J34,-1,Hols))</f>
        <v>43272</v>
      </c>
      <c r="L34" s="71">
        <v>43304</v>
      </c>
      <c r="M34" s="71">
        <v>43333</v>
      </c>
      <c r="N34" s="77">
        <v>2.989865111840289E-2</v>
      </c>
      <c r="O34" s="77">
        <f>IF(ISNA(INDEX('5b. Spot rates'!$C$2:$C$1000,MATCH(L34,'5b. Spot rates'!$A$2:$A$1000,0))+N34),0,INDEX('5b. Spot rates'!$C$2:$C$1000,MATCH(L34,'5b. Spot rates'!$A$2:$A$1000,0))+N34)</f>
        <v>9.7231951118402882E-2</v>
      </c>
      <c r="P34" s="54">
        <f t="shared" si="3"/>
        <v>7725.2783080374902</v>
      </c>
    </row>
    <row r="35" spans="1:16" x14ac:dyDescent="0.3">
      <c r="A35" s="53">
        <v>34</v>
      </c>
      <c r="B35" s="76" t="s">
        <v>58</v>
      </c>
      <c r="C35" s="54">
        <v>1000000</v>
      </c>
      <c r="D35" s="77">
        <f>INDEX('5a. Bond info'!C$2:C$20,MATCH($B35,'5a. Bond info'!$A$2:$A$20,0))</f>
        <v>0.105</v>
      </c>
      <c r="E35" s="53">
        <f>INDEX('5a. Bond info'!D$2:D$20,MATCH($B35,'5a. Bond info'!$A$2:$A$20,0))</f>
        <v>10</v>
      </c>
      <c r="F35" s="71">
        <f>INDEX('5a. Bond info'!E$2:E$20,MATCH($B35,'5a. Bond info'!$A$2:$A$20,0))</f>
        <v>46742</v>
      </c>
      <c r="G35" s="71">
        <f>INDEX('5a. Bond info'!F$2:F$20,MATCH($B35,'5a. Bond info'!$A$2:$A$20,0))</f>
        <v>43637</v>
      </c>
      <c r="H35" s="71">
        <f>INDEX('5a. Bond info'!G$2:G$20,MATCH($B35,'5a. Bond info'!$A$2:$A$20,0))</f>
        <v>43455</v>
      </c>
      <c r="I35" s="71">
        <f t="shared" si="1"/>
        <v>43455</v>
      </c>
      <c r="J35" s="71">
        <f t="shared" si="2"/>
        <v>43272</v>
      </c>
      <c r="K35" s="71">
        <f t="shared" si="4"/>
        <v>43272</v>
      </c>
      <c r="L35" s="71">
        <v>43304</v>
      </c>
      <c r="M35" s="71">
        <v>43333</v>
      </c>
      <c r="N35" s="77">
        <v>2.989865111840289E-2</v>
      </c>
      <c r="O35" s="77">
        <f>IF(ISNA(INDEX('5b. Spot rates'!$C$2:$C$1000,MATCH(L35,'5b. Spot rates'!$A$2:$A$1000,0))+N35),0,INDEX('5b. Spot rates'!$C$2:$C$1000,MATCH(L35,'5b. Spot rates'!$A$2:$A$1000,0))+N35)</f>
        <v>9.7231951118402882E-2</v>
      </c>
      <c r="P35" s="54">
        <f t="shared" si="3"/>
        <v>7725.2783080374902</v>
      </c>
    </row>
    <row r="36" spans="1:16" x14ac:dyDescent="0.3">
      <c r="A36" s="53">
        <v>35</v>
      </c>
      <c r="B36" s="76" t="s">
        <v>58</v>
      </c>
      <c r="C36" s="54">
        <v>1000000</v>
      </c>
      <c r="D36" s="77">
        <f>INDEX('5a. Bond info'!C$2:C$20,MATCH($B36,'5a. Bond info'!$A$2:$A$20,0))</f>
        <v>0.105</v>
      </c>
      <c r="E36" s="53">
        <f>INDEX('5a. Bond info'!D$2:D$20,MATCH($B36,'5a. Bond info'!$A$2:$A$20,0))</f>
        <v>10</v>
      </c>
      <c r="F36" s="71">
        <f>INDEX('5a. Bond info'!E$2:E$20,MATCH($B36,'5a. Bond info'!$A$2:$A$20,0))</f>
        <v>46742</v>
      </c>
      <c r="G36" s="71">
        <f>INDEX('5a. Bond info'!F$2:F$20,MATCH($B36,'5a. Bond info'!$A$2:$A$20,0))</f>
        <v>43637</v>
      </c>
      <c r="H36" s="71">
        <f>INDEX('5a. Bond info'!G$2:G$20,MATCH($B36,'5a. Bond info'!$A$2:$A$20,0))</f>
        <v>43455</v>
      </c>
      <c r="I36" s="71">
        <f t="shared" si="1"/>
        <v>43455</v>
      </c>
      <c r="J36" s="71">
        <f t="shared" si="2"/>
        <v>43272</v>
      </c>
      <c r="K36" s="71">
        <f t="shared" si="4"/>
        <v>43272</v>
      </c>
      <c r="L36" s="71">
        <v>43304</v>
      </c>
      <c r="M36" s="71">
        <v>43333</v>
      </c>
      <c r="N36" s="77">
        <v>2.989865111840289E-2</v>
      </c>
      <c r="O36" s="77">
        <f>IF(ISNA(INDEX('5b. Spot rates'!$C$2:$C$1000,MATCH(L36,'5b. Spot rates'!$A$2:$A$1000,0))+N36),0,INDEX('5b. Spot rates'!$C$2:$C$1000,MATCH(L36,'5b. Spot rates'!$A$2:$A$1000,0))+N36)</f>
        <v>9.7231951118402882E-2</v>
      </c>
      <c r="P36" s="54">
        <f t="shared" si="3"/>
        <v>7725.2783080374902</v>
      </c>
    </row>
    <row r="37" spans="1:16" x14ac:dyDescent="0.3">
      <c r="A37" s="53">
        <v>36</v>
      </c>
      <c r="B37" s="76" t="s">
        <v>58</v>
      </c>
      <c r="C37" s="54">
        <v>1000000</v>
      </c>
      <c r="D37" s="77">
        <f>INDEX('5a. Bond info'!C$2:C$20,MATCH($B37,'5a. Bond info'!$A$2:$A$20,0))</f>
        <v>0.105</v>
      </c>
      <c r="E37" s="53">
        <f>INDEX('5a. Bond info'!D$2:D$20,MATCH($B37,'5a. Bond info'!$A$2:$A$20,0))</f>
        <v>10</v>
      </c>
      <c r="F37" s="71">
        <f>INDEX('5a. Bond info'!E$2:E$20,MATCH($B37,'5a. Bond info'!$A$2:$A$20,0))</f>
        <v>46742</v>
      </c>
      <c r="G37" s="71">
        <f>INDEX('5a. Bond info'!F$2:F$20,MATCH($B37,'5a. Bond info'!$A$2:$A$20,0))</f>
        <v>43637</v>
      </c>
      <c r="H37" s="71">
        <f>INDEX('5a. Bond info'!G$2:G$20,MATCH($B37,'5a. Bond info'!$A$2:$A$20,0))</f>
        <v>43455</v>
      </c>
      <c r="I37" s="71">
        <f t="shared" si="1"/>
        <v>43455</v>
      </c>
      <c r="J37" s="71">
        <f t="shared" si="2"/>
        <v>43272</v>
      </c>
      <c r="K37" s="71">
        <f t="shared" si="4"/>
        <v>43272</v>
      </c>
      <c r="L37" s="71">
        <v>43304</v>
      </c>
      <c r="M37" s="71">
        <v>43333</v>
      </c>
      <c r="N37" s="77">
        <v>2.989865111840289E-2</v>
      </c>
      <c r="O37" s="77">
        <f>IF(ISNA(INDEX('5b. Spot rates'!$C$2:$C$1000,MATCH(L37,'5b. Spot rates'!$A$2:$A$1000,0))+N37),0,INDEX('5b. Spot rates'!$C$2:$C$1000,MATCH(L37,'5b. Spot rates'!$A$2:$A$1000,0))+N37)</f>
        <v>9.7231951118402882E-2</v>
      </c>
      <c r="P37" s="54">
        <f t="shared" si="3"/>
        <v>7725.2783080374902</v>
      </c>
    </row>
    <row r="38" spans="1:16" x14ac:dyDescent="0.3">
      <c r="A38" s="53">
        <v>37</v>
      </c>
      <c r="B38" s="76" t="s">
        <v>58</v>
      </c>
      <c r="C38" s="54">
        <v>1000000</v>
      </c>
      <c r="D38" s="77">
        <f>INDEX('5a. Bond info'!C$2:C$20,MATCH($B38,'5a. Bond info'!$A$2:$A$20,0))</f>
        <v>0.105</v>
      </c>
      <c r="E38" s="53">
        <f>INDEX('5a. Bond info'!D$2:D$20,MATCH($B38,'5a. Bond info'!$A$2:$A$20,0))</f>
        <v>10</v>
      </c>
      <c r="F38" s="71">
        <f>INDEX('5a. Bond info'!E$2:E$20,MATCH($B38,'5a. Bond info'!$A$2:$A$20,0))</f>
        <v>46742</v>
      </c>
      <c r="G38" s="71">
        <f>INDEX('5a. Bond info'!F$2:F$20,MATCH($B38,'5a. Bond info'!$A$2:$A$20,0))</f>
        <v>43637</v>
      </c>
      <c r="H38" s="71">
        <f>INDEX('5a. Bond info'!G$2:G$20,MATCH($B38,'5a. Bond info'!$A$2:$A$20,0))</f>
        <v>43455</v>
      </c>
      <c r="I38" s="71">
        <f t="shared" si="1"/>
        <v>43455</v>
      </c>
      <c r="J38" s="71">
        <f t="shared" si="2"/>
        <v>43272</v>
      </c>
      <c r="K38" s="71">
        <f t="shared" si="4"/>
        <v>43272</v>
      </c>
      <c r="L38" s="71">
        <v>43304</v>
      </c>
      <c r="M38" s="71">
        <v>43333</v>
      </c>
      <c r="N38" s="77">
        <v>2.989865111840289E-2</v>
      </c>
      <c r="O38" s="77">
        <f>IF(ISNA(INDEX('5b. Spot rates'!$C$2:$C$1000,MATCH(L38,'5b. Spot rates'!$A$2:$A$1000,0))+N38),0,INDEX('5b. Spot rates'!$C$2:$C$1000,MATCH(L38,'5b. Spot rates'!$A$2:$A$1000,0))+N38)</f>
        <v>9.7231951118402882E-2</v>
      </c>
      <c r="P38" s="54">
        <f t="shared" si="3"/>
        <v>7725.2783080374902</v>
      </c>
    </row>
    <row r="39" spans="1:16" x14ac:dyDescent="0.3">
      <c r="A39" s="53">
        <v>38</v>
      </c>
      <c r="B39" s="76" t="s">
        <v>58</v>
      </c>
      <c r="C39" s="54">
        <v>1000000</v>
      </c>
      <c r="D39" s="77">
        <f>INDEX('5a. Bond info'!C$2:C$20,MATCH($B39,'5a. Bond info'!$A$2:$A$20,0))</f>
        <v>0.105</v>
      </c>
      <c r="E39" s="53">
        <f>INDEX('5a. Bond info'!D$2:D$20,MATCH($B39,'5a. Bond info'!$A$2:$A$20,0))</f>
        <v>10</v>
      </c>
      <c r="F39" s="71">
        <f>INDEX('5a. Bond info'!E$2:E$20,MATCH($B39,'5a. Bond info'!$A$2:$A$20,0))</f>
        <v>46742</v>
      </c>
      <c r="G39" s="71">
        <f>INDEX('5a. Bond info'!F$2:F$20,MATCH($B39,'5a. Bond info'!$A$2:$A$20,0))</f>
        <v>43637</v>
      </c>
      <c r="H39" s="71">
        <f>INDEX('5a. Bond info'!G$2:G$20,MATCH($B39,'5a. Bond info'!$A$2:$A$20,0))</f>
        <v>43455</v>
      </c>
      <c r="I39" s="71">
        <f t="shared" si="1"/>
        <v>43455</v>
      </c>
      <c r="J39" s="71">
        <f t="shared" si="2"/>
        <v>43272</v>
      </c>
      <c r="K39" s="71">
        <f t="shared" si="4"/>
        <v>43272</v>
      </c>
      <c r="L39" s="71">
        <v>43304</v>
      </c>
      <c r="M39" s="71">
        <v>43333</v>
      </c>
      <c r="N39" s="77">
        <v>2.989865111840289E-2</v>
      </c>
      <c r="O39" s="77">
        <f>IF(ISNA(INDEX('5b. Spot rates'!$C$2:$C$1000,MATCH(L39,'5b. Spot rates'!$A$2:$A$1000,0))+N39),0,INDEX('5b. Spot rates'!$C$2:$C$1000,MATCH(L39,'5b. Spot rates'!$A$2:$A$1000,0))+N39)</f>
        <v>9.7231951118402882E-2</v>
      </c>
      <c r="P39" s="54">
        <f t="shared" si="3"/>
        <v>7725.2783080374902</v>
      </c>
    </row>
    <row r="40" spans="1:16" x14ac:dyDescent="0.3">
      <c r="A40" s="53">
        <v>39</v>
      </c>
      <c r="B40" s="76" t="s">
        <v>58</v>
      </c>
      <c r="C40" s="54">
        <v>1000000</v>
      </c>
      <c r="D40" s="77">
        <f>INDEX('5a. Bond info'!C$2:C$20,MATCH($B40,'5a. Bond info'!$A$2:$A$20,0))</f>
        <v>0.105</v>
      </c>
      <c r="E40" s="53">
        <f>INDEX('5a. Bond info'!D$2:D$20,MATCH($B40,'5a. Bond info'!$A$2:$A$20,0))</f>
        <v>10</v>
      </c>
      <c r="F40" s="71">
        <f>INDEX('5a. Bond info'!E$2:E$20,MATCH($B40,'5a. Bond info'!$A$2:$A$20,0))</f>
        <v>46742</v>
      </c>
      <c r="G40" s="71">
        <f>INDEX('5a. Bond info'!F$2:F$20,MATCH($B40,'5a. Bond info'!$A$2:$A$20,0))</f>
        <v>43637</v>
      </c>
      <c r="H40" s="71">
        <f>INDEX('5a. Bond info'!G$2:G$20,MATCH($B40,'5a. Bond info'!$A$2:$A$20,0))</f>
        <v>43455</v>
      </c>
      <c r="I40" s="71">
        <f t="shared" si="1"/>
        <v>43455</v>
      </c>
      <c r="J40" s="71">
        <f t="shared" si="2"/>
        <v>43272</v>
      </c>
      <c r="K40" s="71">
        <f t="shared" si="4"/>
        <v>43272</v>
      </c>
      <c r="L40" s="71">
        <v>43304</v>
      </c>
      <c r="M40" s="71">
        <v>43333</v>
      </c>
      <c r="N40" s="77">
        <v>2.989865111840289E-2</v>
      </c>
      <c r="O40" s="77">
        <f>IF(ISNA(INDEX('5b. Spot rates'!$C$2:$C$1000,MATCH(L40,'5b. Spot rates'!$A$2:$A$1000,0))+N40),0,INDEX('5b. Spot rates'!$C$2:$C$1000,MATCH(L40,'5b. Spot rates'!$A$2:$A$1000,0))+N40)</f>
        <v>9.7231951118402882E-2</v>
      </c>
      <c r="P40" s="54">
        <f t="shared" si="3"/>
        <v>7725.2783080374902</v>
      </c>
    </row>
    <row r="41" spans="1:16" x14ac:dyDescent="0.3">
      <c r="A41" s="53">
        <v>40</v>
      </c>
      <c r="B41" s="76" t="s">
        <v>58</v>
      </c>
      <c r="C41" s="54">
        <v>1000000</v>
      </c>
      <c r="D41" s="77">
        <f>INDEX('5a. Bond info'!C$2:C$20,MATCH($B41,'5a. Bond info'!$A$2:$A$20,0))</f>
        <v>0.105</v>
      </c>
      <c r="E41" s="53">
        <f>INDEX('5a. Bond info'!D$2:D$20,MATCH($B41,'5a. Bond info'!$A$2:$A$20,0))</f>
        <v>10</v>
      </c>
      <c r="F41" s="71">
        <f>INDEX('5a. Bond info'!E$2:E$20,MATCH($B41,'5a. Bond info'!$A$2:$A$20,0))</f>
        <v>46742</v>
      </c>
      <c r="G41" s="71">
        <f>INDEX('5a. Bond info'!F$2:F$20,MATCH($B41,'5a. Bond info'!$A$2:$A$20,0))</f>
        <v>43637</v>
      </c>
      <c r="H41" s="71">
        <f>INDEX('5a. Bond info'!G$2:G$20,MATCH($B41,'5a. Bond info'!$A$2:$A$20,0))</f>
        <v>43455</v>
      </c>
      <c r="I41" s="71">
        <f t="shared" si="1"/>
        <v>43455</v>
      </c>
      <c r="J41" s="71">
        <f t="shared" si="2"/>
        <v>43272</v>
      </c>
      <c r="K41" s="71">
        <f t="shared" si="4"/>
        <v>43272</v>
      </c>
      <c r="L41" s="71">
        <v>43304</v>
      </c>
      <c r="M41" s="71">
        <v>43333</v>
      </c>
      <c r="N41" s="77">
        <v>2.989865111840289E-2</v>
      </c>
      <c r="O41" s="77">
        <f>IF(ISNA(INDEX('5b. Spot rates'!$C$2:$C$1000,MATCH(L41,'5b. Spot rates'!$A$2:$A$1000,0))+N41),0,INDEX('5b. Spot rates'!$C$2:$C$1000,MATCH(L41,'5b. Spot rates'!$A$2:$A$1000,0))+N41)</f>
        <v>9.7231951118402882E-2</v>
      </c>
      <c r="P41" s="54">
        <f t="shared" si="3"/>
        <v>7725.2783080374902</v>
      </c>
    </row>
    <row r="42" spans="1:16" x14ac:dyDescent="0.3">
      <c r="A42" s="53">
        <v>41</v>
      </c>
      <c r="B42" s="76" t="s">
        <v>58</v>
      </c>
      <c r="C42" s="54">
        <v>1000000</v>
      </c>
      <c r="D42" s="77">
        <f>INDEX('5a. Bond info'!C$2:C$20,MATCH($B42,'5a. Bond info'!$A$2:$A$20,0))</f>
        <v>0.105</v>
      </c>
      <c r="E42" s="53">
        <f>INDEX('5a. Bond info'!D$2:D$20,MATCH($B42,'5a. Bond info'!$A$2:$A$20,0))</f>
        <v>10</v>
      </c>
      <c r="F42" s="71">
        <f>INDEX('5a. Bond info'!E$2:E$20,MATCH($B42,'5a. Bond info'!$A$2:$A$20,0))</f>
        <v>46742</v>
      </c>
      <c r="G42" s="71">
        <f>INDEX('5a. Bond info'!F$2:F$20,MATCH($B42,'5a. Bond info'!$A$2:$A$20,0))</f>
        <v>43637</v>
      </c>
      <c r="H42" s="71">
        <f>INDEX('5a. Bond info'!G$2:G$20,MATCH($B42,'5a. Bond info'!$A$2:$A$20,0))</f>
        <v>43455</v>
      </c>
      <c r="I42" s="71">
        <f t="shared" si="1"/>
        <v>43455</v>
      </c>
      <c r="J42" s="71">
        <f t="shared" si="2"/>
        <v>43272</v>
      </c>
      <c r="K42" s="71">
        <f t="shared" si="4"/>
        <v>43272</v>
      </c>
      <c r="L42" s="71">
        <v>43304</v>
      </c>
      <c r="M42" s="71">
        <v>43333</v>
      </c>
      <c r="N42" s="77">
        <v>2.989865111840289E-2</v>
      </c>
      <c r="O42" s="77">
        <f>IF(ISNA(INDEX('5b. Spot rates'!$C$2:$C$1000,MATCH(L42,'5b. Spot rates'!$A$2:$A$1000,0))+N42),0,INDEX('5b. Spot rates'!$C$2:$C$1000,MATCH(L42,'5b. Spot rates'!$A$2:$A$1000,0))+N42)</f>
        <v>9.7231951118402882E-2</v>
      </c>
      <c r="P42" s="54">
        <f t="shared" si="3"/>
        <v>7725.2783080374902</v>
      </c>
    </row>
    <row r="43" spans="1:16" x14ac:dyDescent="0.3">
      <c r="A43" s="53">
        <v>42</v>
      </c>
      <c r="B43" s="76" t="s">
        <v>58</v>
      </c>
      <c r="C43" s="54">
        <v>1000000</v>
      </c>
      <c r="D43" s="77">
        <f>INDEX('5a. Bond info'!C$2:C$20,MATCH($B43,'5a. Bond info'!$A$2:$A$20,0))</f>
        <v>0.105</v>
      </c>
      <c r="E43" s="53">
        <f>INDEX('5a. Bond info'!D$2:D$20,MATCH($B43,'5a. Bond info'!$A$2:$A$20,0))</f>
        <v>10</v>
      </c>
      <c r="F43" s="71">
        <f>INDEX('5a. Bond info'!E$2:E$20,MATCH($B43,'5a. Bond info'!$A$2:$A$20,0))</f>
        <v>46742</v>
      </c>
      <c r="G43" s="71">
        <f>INDEX('5a. Bond info'!F$2:F$20,MATCH($B43,'5a. Bond info'!$A$2:$A$20,0))</f>
        <v>43637</v>
      </c>
      <c r="H43" s="71">
        <f>INDEX('5a. Bond info'!G$2:G$20,MATCH($B43,'5a. Bond info'!$A$2:$A$20,0))</f>
        <v>43455</v>
      </c>
      <c r="I43" s="71">
        <f t="shared" si="1"/>
        <v>43455</v>
      </c>
      <c r="J43" s="71">
        <f t="shared" si="2"/>
        <v>43272</v>
      </c>
      <c r="K43" s="71">
        <f t="shared" si="4"/>
        <v>43272</v>
      </c>
      <c r="L43" s="71">
        <v>43304</v>
      </c>
      <c r="M43" s="71">
        <v>43333</v>
      </c>
      <c r="N43" s="77">
        <v>2.989865111840289E-2</v>
      </c>
      <c r="O43" s="77">
        <f>IF(ISNA(INDEX('5b. Spot rates'!$C$2:$C$1000,MATCH(L43,'5b. Spot rates'!$A$2:$A$1000,0))+N43),0,INDEX('5b. Spot rates'!$C$2:$C$1000,MATCH(L43,'5b. Spot rates'!$A$2:$A$1000,0))+N43)</f>
        <v>9.7231951118402882E-2</v>
      </c>
      <c r="P43" s="54">
        <f t="shared" si="3"/>
        <v>7725.2783080374902</v>
      </c>
    </row>
    <row r="44" spans="1:16" x14ac:dyDescent="0.3">
      <c r="A44" s="53">
        <v>43</v>
      </c>
      <c r="B44" s="76" t="s">
        <v>58</v>
      </c>
      <c r="C44" s="54">
        <v>1000000</v>
      </c>
      <c r="D44" s="77">
        <f>INDEX('5a. Bond info'!C$2:C$20,MATCH($B44,'5a. Bond info'!$A$2:$A$20,0))</f>
        <v>0.105</v>
      </c>
      <c r="E44" s="53">
        <f>INDEX('5a. Bond info'!D$2:D$20,MATCH($B44,'5a. Bond info'!$A$2:$A$20,0))</f>
        <v>10</v>
      </c>
      <c r="F44" s="71">
        <f>INDEX('5a. Bond info'!E$2:E$20,MATCH($B44,'5a. Bond info'!$A$2:$A$20,0))</f>
        <v>46742</v>
      </c>
      <c r="G44" s="71">
        <f>INDEX('5a. Bond info'!F$2:F$20,MATCH($B44,'5a. Bond info'!$A$2:$A$20,0))</f>
        <v>43637</v>
      </c>
      <c r="H44" s="71">
        <f>INDEX('5a. Bond info'!G$2:G$20,MATCH($B44,'5a. Bond info'!$A$2:$A$20,0))</f>
        <v>43455</v>
      </c>
      <c r="I44" s="71">
        <f t="shared" si="1"/>
        <v>43455</v>
      </c>
      <c r="J44" s="71">
        <f t="shared" si="2"/>
        <v>43272</v>
      </c>
      <c r="K44" s="71">
        <f t="shared" si="4"/>
        <v>43272</v>
      </c>
      <c r="L44" s="71">
        <v>43304</v>
      </c>
      <c r="M44" s="71">
        <v>43333</v>
      </c>
      <c r="N44" s="77">
        <v>2.989865111840289E-2</v>
      </c>
      <c r="O44" s="77">
        <f>IF(ISNA(INDEX('5b. Spot rates'!$C$2:$C$1000,MATCH(L44,'5b. Spot rates'!$A$2:$A$1000,0))+N44),0,INDEX('5b. Spot rates'!$C$2:$C$1000,MATCH(L44,'5b. Spot rates'!$A$2:$A$1000,0))+N44)</f>
        <v>9.7231951118402882E-2</v>
      </c>
      <c r="P44" s="54">
        <f t="shared" si="3"/>
        <v>7725.2783080374902</v>
      </c>
    </row>
    <row r="45" spans="1:16" x14ac:dyDescent="0.3">
      <c r="A45" s="53">
        <v>44</v>
      </c>
      <c r="B45" s="76" t="s">
        <v>58</v>
      </c>
      <c r="C45" s="54">
        <v>1000000</v>
      </c>
      <c r="D45" s="77">
        <f>INDEX('5a. Bond info'!C$2:C$20,MATCH($B45,'5a. Bond info'!$A$2:$A$20,0))</f>
        <v>0.105</v>
      </c>
      <c r="E45" s="53">
        <f>INDEX('5a. Bond info'!D$2:D$20,MATCH($B45,'5a. Bond info'!$A$2:$A$20,0))</f>
        <v>10</v>
      </c>
      <c r="F45" s="71">
        <f>INDEX('5a. Bond info'!E$2:E$20,MATCH($B45,'5a. Bond info'!$A$2:$A$20,0))</f>
        <v>46742</v>
      </c>
      <c r="G45" s="71">
        <f>INDEX('5a. Bond info'!F$2:F$20,MATCH($B45,'5a. Bond info'!$A$2:$A$20,0))</f>
        <v>43637</v>
      </c>
      <c r="H45" s="71">
        <f>INDEX('5a. Bond info'!G$2:G$20,MATCH($B45,'5a. Bond info'!$A$2:$A$20,0))</f>
        <v>43455</v>
      </c>
      <c r="I45" s="71">
        <f t="shared" si="1"/>
        <v>43455</v>
      </c>
      <c r="J45" s="71">
        <f t="shared" si="2"/>
        <v>43272</v>
      </c>
      <c r="K45" s="71">
        <f t="shared" si="4"/>
        <v>43272</v>
      </c>
      <c r="L45" s="71">
        <v>43304</v>
      </c>
      <c r="M45" s="71">
        <v>43333</v>
      </c>
      <c r="N45" s="77">
        <v>2.989865111840289E-2</v>
      </c>
      <c r="O45" s="77">
        <f>IF(ISNA(INDEX('5b. Spot rates'!$C$2:$C$1000,MATCH(L45,'5b. Spot rates'!$A$2:$A$1000,0))+N45),0,INDEX('5b. Spot rates'!$C$2:$C$1000,MATCH(L45,'5b. Spot rates'!$A$2:$A$1000,0))+N45)</f>
        <v>9.7231951118402882E-2</v>
      </c>
      <c r="P45" s="54">
        <f t="shared" si="3"/>
        <v>7725.2783080374902</v>
      </c>
    </row>
    <row r="46" spans="1:16" x14ac:dyDescent="0.3">
      <c r="A46" s="53">
        <v>45</v>
      </c>
      <c r="B46" s="76" t="s">
        <v>65</v>
      </c>
      <c r="C46" s="54">
        <v>1000000</v>
      </c>
      <c r="D46" s="77">
        <f>INDEX('5a. Bond info'!C$2:C$20,MATCH($B46,'5a. Bond info'!$A$2:$A$20,0))</f>
        <v>0.09</v>
      </c>
      <c r="E46" s="53">
        <f>INDEX('5a. Bond info'!D$2:D$20,MATCH($B46,'5a. Bond info'!$A$2:$A$20,0))</f>
        <v>22</v>
      </c>
      <c r="F46" s="71">
        <f>INDEX('5a. Bond info'!E$2:E$20,MATCH($B46,'5a. Bond info'!$A$2:$A$20,0))</f>
        <v>51166</v>
      </c>
      <c r="G46" s="71">
        <f>INDEX('5a. Bond info'!F$2:F$20,MATCH($B46,'5a. Bond info'!$A$2:$A$20,0))</f>
        <v>43496</v>
      </c>
      <c r="H46" s="71">
        <f>INDEX('5a. Bond info'!G$2:G$20,MATCH($B46,'5a. Bond info'!$A$2:$A$20,0))</f>
        <v>43677</v>
      </c>
      <c r="I46" s="71">
        <f t="shared" si="1"/>
        <v>43496</v>
      </c>
      <c r="J46" s="71">
        <f t="shared" si="2"/>
        <v>43312</v>
      </c>
      <c r="K46" s="71">
        <f t="shared" si="4"/>
        <v>43312</v>
      </c>
      <c r="L46" s="71">
        <v>43312</v>
      </c>
      <c r="M46" s="71">
        <v>43342</v>
      </c>
      <c r="N46" s="77">
        <v>1.3848503704581362E-2</v>
      </c>
      <c r="O46" s="77">
        <f>IF(ISNA(INDEX('5b. Spot rates'!$C$2:$C$1000,MATCH(L46,'5b. Spot rates'!$A$2:$A$1000,0))+N46),0,INDEX('5b. Spot rates'!$C$2:$C$1000,MATCH(L46,'5b. Spot rates'!$A$2:$A$1000,0))+N46)</f>
        <v>8.1181803704581362E-2</v>
      </c>
      <c r="P46" s="54">
        <f t="shared" si="3"/>
        <v>6672.4770168149062</v>
      </c>
    </row>
    <row r="47" spans="1:16" x14ac:dyDescent="0.3">
      <c r="A47" s="53">
        <v>46</v>
      </c>
      <c r="B47" s="76" t="s">
        <v>65</v>
      </c>
      <c r="C47" s="54">
        <v>1000000</v>
      </c>
      <c r="D47" s="77">
        <f>INDEX('5a. Bond info'!C$2:C$20,MATCH($B47,'5a. Bond info'!$A$2:$A$20,0))</f>
        <v>0.09</v>
      </c>
      <c r="E47" s="53">
        <f>INDEX('5a. Bond info'!D$2:D$20,MATCH($B47,'5a. Bond info'!$A$2:$A$20,0))</f>
        <v>22</v>
      </c>
      <c r="F47" s="71">
        <f>INDEX('5a. Bond info'!E$2:E$20,MATCH($B47,'5a. Bond info'!$A$2:$A$20,0))</f>
        <v>51166</v>
      </c>
      <c r="G47" s="71">
        <f>INDEX('5a. Bond info'!F$2:F$20,MATCH($B47,'5a. Bond info'!$A$2:$A$20,0))</f>
        <v>43496</v>
      </c>
      <c r="H47" s="71">
        <f>INDEX('5a. Bond info'!G$2:G$20,MATCH($B47,'5a. Bond info'!$A$2:$A$20,0))</f>
        <v>43677</v>
      </c>
      <c r="I47" s="71">
        <f t="shared" si="1"/>
        <v>43496</v>
      </c>
      <c r="J47" s="71">
        <f t="shared" si="2"/>
        <v>43312</v>
      </c>
      <c r="K47" s="71">
        <f t="shared" si="4"/>
        <v>43312</v>
      </c>
      <c r="L47" s="71">
        <v>43312</v>
      </c>
      <c r="M47" s="71">
        <v>43342</v>
      </c>
      <c r="N47" s="77">
        <v>1.3848503704581362E-2</v>
      </c>
      <c r="O47" s="77">
        <f>IF(ISNA(INDEX('5b. Spot rates'!$C$2:$C$1000,MATCH(L47,'5b. Spot rates'!$A$2:$A$1000,0))+N47),0,INDEX('5b. Spot rates'!$C$2:$C$1000,MATCH(L47,'5b. Spot rates'!$A$2:$A$1000,0))+N47)</f>
        <v>8.1181803704581362E-2</v>
      </c>
      <c r="P47" s="54">
        <f t="shared" si="3"/>
        <v>6672.4770168149062</v>
      </c>
    </row>
    <row r="48" spans="1:16" x14ac:dyDescent="0.3">
      <c r="A48" s="53">
        <v>47</v>
      </c>
      <c r="B48" s="76" t="s">
        <v>65</v>
      </c>
      <c r="C48" s="54">
        <v>1000000</v>
      </c>
      <c r="D48" s="77">
        <f>INDEX('5a. Bond info'!C$2:C$20,MATCH($B48,'5a. Bond info'!$A$2:$A$20,0))</f>
        <v>0.09</v>
      </c>
      <c r="E48" s="53">
        <f>INDEX('5a. Bond info'!D$2:D$20,MATCH($B48,'5a. Bond info'!$A$2:$A$20,0))</f>
        <v>22</v>
      </c>
      <c r="F48" s="71">
        <f>INDEX('5a. Bond info'!E$2:E$20,MATCH($B48,'5a. Bond info'!$A$2:$A$20,0))</f>
        <v>51166</v>
      </c>
      <c r="G48" s="71">
        <f>INDEX('5a. Bond info'!F$2:F$20,MATCH($B48,'5a. Bond info'!$A$2:$A$20,0))</f>
        <v>43496</v>
      </c>
      <c r="H48" s="71">
        <f>INDEX('5a. Bond info'!G$2:G$20,MATCH($B48,'5a. Bond info'!$A$2:$A$20,0))</f>
        <v>43677</v>
      </c>
      <c r="I48" s="71">
        <f t="shared" si="1"/>
        <v>43496</v>
      </c>
      <c r="J48" s="71">
        <f t="shared" si="2"/>
        <v>43312</v>
      </c>
      <c r="K48" s="71">
        <f t="shared" si="4"/>
        <v>43312</v>
      </c>
      <c r="L48" s="71">
        <v>43312</v>
      </c>
      <c r="M48" s="71">
        <v>43342</v>
      </c>
      <c r="N48" s="77">
        <v>1.3848503704581362E-2</v>
      </c>
      <c r="O48" s="77">
        <f>IF(ISNA(INDEX('5b. Spot rates'!$C$2:$C$1000,MATCH(L48,'5b. Spot rates'!$A$2:$A$1000,0))+N48),0,INDEX('5b. Spot rates'!$C$2:$C$1000,MATCH(L48,'5b. Spot rates'!$A$2:$A$1000,0))+N48)</f>
        <v>8.1181803704581362E-2</v>
      </c>
      <c r="P48" s="54">
        <f t="shared" si="3"/>
        <v>6672.4770168149062</v>
      </c>
    </row>
    <row r="49" spans="1:16" x14ac:dyDescent="0.3">
      <c r="A49" s="53">
        <v>48</v>
      </c>
      <c r="B49" s="76" t="s">
        <v>65</v>
      </c>
      <c r="C49" s="54">
        <v>1000000</v>
      </c>
      <c r="D49" s="77">
        <f>INDEX('5a. Bond info'!C$2:C$20,MATCH($B49,'5a. Bond info'!$A$2:$A$20,0))</f>
        <v>0.09</v>
      </c>
      <c r="E49" s="53">
        <f>INDEX('5a. Bond info'!D$2:D$20,MATCH($B49,'5a. Bond info'!$A$2:$A$20,0))</f>
        <v>22</v>
      </c>
      <c r="F49" s="71">
        <f>INDEX('5a. Bond info'!E$2:E$20,MATCH($B49,'5a. Bond info'!$A$2:$A$20,0))</f>
        <v>51166</v>
      </c>
      <c r="G49" s="71">
        <f>INDEX('5a. Bond info'!F$2:F$20,MATCH($B49,'5a. Bond info'!$A$2:$A$20,0))</f>
        <v>43496</v>
      </c>
      <c r="H49" s="71">
        <f>INDEX('5a. Bond info'!G$2:G$20,MATCH($B49,'5a. Bond info'!$A$2:$A$20,0))</f>
        <v>43677</v>
      </c>
      <c r="I49" s="71">
        <f t="shared" si="1"/>
        <v>43496</v>
      </c>
      <c r="J49" s="71">
        <f t="shared" si="2"/>
        <v>43312</v>
      </c>
      <c r="K49" s="71">
        <f t="shared" si="4"/>
        <v>43312</v>
      </c>
      <c r="L49" s="71">
        <v>43312</v>
      </c>
      <c r="M49" s="71">
        <v>43342</v>
      </c>
      <c r="N49" s="77">
        <v>1.3848503704581362E-2</v>
      </c>
      <c r="O49" s="77">
        <f>IF(ISNA(INDEX('5b. Spot rates'!$C$2:$C$1000,MATCH(L49,'5b. Spot rates'!$A$2:$A$1000,0))+N49),0,INDEX('5b. Spot rates'!$C$2:$C$1000,MATCH(L49,'5b. Spot rates'!$A$2:$A$1000,0))+N49)</f>
        <v>8.1181803704581362E-2</v>
      </c>
      <c r="P49" s="54">
        <f t="shared" si="3"/>
        <v>6672.4770168149062</v>
      </c>
    </row>
    <row r="50" spans="1:16" x14ac:dyDescent="0.3">
      <c r="A50" s="53">
        <v>49</v>
      </c>
      <c r="B50" s="76" t="s">
        <v>65</v>
      </c>
      <c r="C50" s="54">
        <v>1000000</v>
      </c>
      <c r="D50" s="77">
        <f>INDEX('5a. Bond info'!C$2:C$20,MATCH($B50,'5a. Bond info'!$A$2:$A$20,0))</f>
        <v>0.09</v>
      </c>
      <c r="E50" s="53">
        <f>INDEX('5a. Bond info'!D$2:D$20,MATCH($B50,'5a. Bond info'!$A$2:$A$20,0))</f>
        <v>22</v>
      </c>
      <c r="F50" s="71">
        <f>INDEX('5a. Bond info'!E$2:E$20,MATCH($B50,'5a. Bond info'!$A$2:$A$20,0))</f>
        <v>51166</v>
      </c>
      <c r="G50" s="71">
        <f>INDEX('5a. Bond info'!F$2:F$20,MATCH($B50,'5a. Bond info'!$A$2:$A$20,0))</f>
        <v>43496</v>
      </c>
      <c r="H50" s="71">
        <f>INDEX('5a. Bond info'!G$2:G$20,MATCH($B50,'5a. Bond info'!$A$2:$A$20,0))</f>
        <v>43677</v>
      </c>
      <c r="I50" s="71">
        <f t="shared" si="1"/>
        <v>43496</v>
      </c>
      <c r="J50" s="71">
        <f t="shared" si="2"/>
        <v>43312</v>
      </c>
      <c r="K50" s="71">
        <f t="shared" si="4"/>
        <v>43312</v>
      </c>
      <c r="L50" s="71">
        <v>43312</v>
      </c>
      <c r="M50" s="71">
        <v>43342</v>
      </c>
      <c r="N50" s="77">
        <v>1.3848503704581362E-2</v>
      </c>
      <c r="O50" s="77">
        <f>IF(ISNA(INDEX('5b. Spot rates'!$C$2:$C$1000,MATCH(L50,'5b. Spot rates'!$A$2:$A$1000,0))+N50),0,INDEX('5b. Spot rates'!$C$2:$C$1000,MATCH(L50,'5b. Spot rates'!$A$2:$A$1000,0))+N50)</f>
        <v>8.1181803704581362E-2</v>
      </c>
      <c r="P50" s="54">
        <f t="shared" si="3"/>
        <v>6672.4770168149062</v>
      </c>
    </row>
    <row r="51" spans="1:16" x14ac:dyDescent="0.3">
      <c r="A51" s="53">
        <v>50</v>
      </c>
      <c r="B51" s="76" t="s">
        <v>65</v>
      </c>
      <c r="C51" s="54">
        <v>1000000</v>
      </c>
      <c r="D51" s="77">
        <f>INDEX('5a. Bond info'!C$2:C$20,MATCH($B51,'5a. Bond info'!$A$2:$A$20,0))</f>
        <v>0.09</v>
      </c>
      <c r="E51" s="53">
        <f>INDEX('5a. Bond info'!D$2:D$20,MATCH($B51,'5a. Bond info'!$A$2:$A$20,0))</f>
        <v>22</v>
      </c>
      <c r="F51" s="71">
        <f>INDEX('5a. Bond info'!E$2:E$20,MATCH($B51,'5a. Bond info'!$A$2:$A$20,0))</f>
        <v>51166</v>
      </c>
      <c r="G51" s="71">
        <f>INDEX('5a. Bond info'!F$2:F$20,MATCH($B51,'5a. Bond info'!$A$2:$A$20,0))</f>
        <v>43496</v>
      </c>
      <c r="H51" s="71">
        <f>INDEX('5a. Bond info'!G$2:G$20,MATCH($B51,'5a. Bond info'!$A$2:$A$20,0))</f>
        <v>43677</v>
      </c>
      <c r="I51" s="71">
        <f t="shared" si="1"/>
        <v>43496</v>
      </c>
      <c r="J51" s="71">
        <f t="shared" si="2"/>
        <v>43312</v>
      </c>
      <c r="K51" s="71">
        <f t="shared" si="4"/>
        <v>43312</v>
      </c>
      <c r="L51" s="71">
        <v>43312</v>
      </c>
      <c r="M51" s="71">
        <v>43342</v>
      </c>
      <c r="N51" s="77">
        <v>1.3848503704581362E-2</v>
      </c>
      <c r="O51" s="77">
        <f>IF(ISNA(INDEX('5b. Spot rates'!$C$2:$C$1000,MATCH(L51,'5b. Spot rates'!$A$2:$A$1000,0))+N51),0,INDEX('5b. Spot rates'!$C$2:$C$1000,MATCH(L51,'5b. Spot rates'!$A$2:$A$1000,0))+N51)</f>
        <v>8.1181803704581362E-2</v>
      </c>
      <c r="P51" s="54">
        <f t="shared" si="3"/>
        <v>6672.4770168149062</v>
      </c>
    </row>
    <row r="52" spans="1:16" x14ac:dyDescent="0.3">
      <c r="A52" s="53">
        <v>51</v>
      </c>
      <c r="B52" s="76" t="s">
        <v>65</v>
      </c>
      <c r="C52" s="54">
        <v>1000000</v>
      </c>
      <c r="D52" s="77">
        <f>INDEX('5a. Bond info'!C$2:C$20,MATCH($B52,'5a. Bond info'!$A$2:$A$20,0))</f>
        <v>0.09</v>
      </c>
      <c r="E52" s="53">
        <f>INDEX('5a. Bond info'!D$2:D$20,MATCH($B52,'5a. Bond info'!$A$2:$A$20,0))</f>
        <v>22</v>
      </c>
      <c r="F52" s="71">
        <f>INDEX('5a. Bond info'!E$2:E$20,MATCH($B52,'5a. Bond info'!$A$2:$A$20,0))</f>
        <v>51166</v>
      </c>
      <c r="G52" s="71">
        <f>INDEX('5a. Bond info'!F$2:F$20,MATCH($B52,'5a. Bond info'!$A$2:$A$20,0))</f>
        <v>43496</v>
      </c>
      <c r="H52" s="71">
        <f>INDEX('5a. Bond info'!G$2:G$20,MATCH($B52,'5a. Bond info'!$A$2:$A$20,0))</f>
        <v>43677</v>
      </c>
      <c r="I52" s="71">
        <f t="shared" si="1"/>
        <v>43496</v>
      </c>
      <c r="J52" s="71">
        <f t="shared" si="2"/>
        <v>43312</v>
      </c>
      <c r="K52" s="71">
        <f t="shared" si="4"/>
        <v>43312</v>
      </c>
      <c r="L52" s="71">
        <v>43312</v>
      </c>
      <c r="M52" s="71">
        <v>43342</v>
      </c>
      <c r="N52" s="77">
        <v>1.3848503704581362E-2</v>
      </c>
      <c r="O52" s="77">
        <f>IF(ISNA(INDEX('5b. Spot rates'!$C$2:$C$1000,MATCH(L52,'5b. Spot rates'!$A$2:$A$1000,0))+N52),0,INDEX('5b. Spot rates'!$C$2:$C$1000,MATCH(L52,'5b. Spot rates'!$A$2:$A$1000,0))+N52)</f>
        <v>8.1181803704581362E-2</v>
      </c>
      <c r="P52" s="54">
        <f t="shared" si="3"/>
        <v>6672.4770168149062</v>
      </c>
    </row>
    <row r="53" spans="1:16" x14ac:dyDescent="0.3">
      <c r="A53" s="53">
        <v>52</v>
      </c>
      <c r="B53" s="76" t="s">
        <v>65</v>
      </c>
      <c r="C53" s="54">
        <v>1000000</v>
      </c>
      <c r="D53" s="77">
        <f>INDEX('5a. Bond info'!C$2:C$20,MATCH($B53,'5a. Bond info'!$A$2:$A$20,0))</f>
        <v>0.09</v>
      </c>
      <c r="E53" s="53">
        <f>INDEX('5a. Bond info'!D$2:D$20,MATCH($B53,'5a. Bond info'!$A$2:$A$20,0))</f>
        <v>22</v>
      </c>
      <c r="F53" s="71">
        <f>INDEX('5a. Bond info'!E$2:E$20,MATCH($B53,'5a. Bond info'!$A$2:$A$20,0))</f>
        <v>51166</v>
      </c>
      <c r="G53" s="71">
        <f>INDEX('5a. Bond info'!F$2:F$20,MATCH($B53,'5a. Bond info'!$A$2:$A$20,0))</f>
        <v>43496</v>
      </c>
      <c r="H53" s="71">
        <f>INDEX('5a. Bond info'!G$2:G$20,MATCH($B53,'5a. Bond info'!$A$2:$A$20,0))</f>
        <v>43677</v>
      </c>
      <c r="I53" s="71">
        <f t="shared" si="1"/>
        <v>43496</v>
      </c>
      <c r="J53" s="71">
        <f t="shared" si="2"/>
        <v>43312</v>
      </c>
      <c r="K53" s="71">
        <f t="shared" si="4"/>
        <v>43312</v>
      </c>
      <c r="L53" s="71">
        <v>43312</v>
      </c>
      <c r="M53" s="71">
        <v>43342</v>
      </c>
      <c r="N53" s="77">
        <v>1.3848503704581362E-2</v>
      </c>
      <c r="O53" s="77">
        <f>IF(ISNA(INDEX('5b. Spot rates'!$C$2:$C$1000,MATCH(L53,'5b. Spot rates'!$A$2:$A$1000,0))+N53),0,INDEX('5b. Spot rates'!$C$2:$C$1000,MATCH(L53,'5b. Spot rates'!$A$2:$A$1000,0))+N53)</f>
        <v>8.1181803704581362E-2</v>
      </c>
      <c r="P53" s="54">
        <f t="shared" si="3"/>
        <v>6672.4770168149062</v>
      </c>
    </row>
    <row r="54" spans="1:16" x14ac:dyDescent="0.3">
      <c r="A54" s="53">
        <v>53</v>
      </c>
      <c r="B54" s="76" t="s">
        <v>55</v>
      </c>
      <c r="C54" s="54">
        <v>1000000</v>
      </c>
      <c r="D54" s="77">
        <f>INDEX('5a. Bond info'!C$2:C$20,MATCH($B54,'5a. Bond info'!$A$2:$A$20,0))</f>
        <v>7.2499999999999995E-2</v>
      </c>
      <c r="E54" s="53">
        <f>INDEX('5a. Bond info'!D$2:D$20,MATCH($B54,'5a. Bond info'!$A$2:$A$20,0))</f>
        <v>2</v>
      </c>
      <c r="F54" s="71">
        <f>INDEX('5a. Bond info'!E$2:E$20,MATCH($B54,'5a. Bond info'!$A$2:$A$20,0))</f>
        <v>43845</v>
      </c>
      <c r="G54" s="71">
        <f>INDEX('5a. Bond info'!F$2:F$20,MATCH($B54,'5a. Bond info'!$A$2:$A$20,0))</f>
        <v>43480</v>
      </c>
      <c r="H54" s="71">
        <f>INDEX('5a. Bond info'!G$2:G$20,MATCH($B54,'5a. Bond info'!$A$2:$A$20,0))</f>
        <v>43661</v>
      </c>
      <c r="I54" s="71">
        <f t="shared" si="1"/>
        <v>43480</v>
      </c>
      <c r="J54" s="71">
        <f t="shared" si="2"/>
        <v>43296</v>
      </c>
      <c r="K54" s="71">
        <f t="shared" si="4"/>
        <v>43297</v>
      </c>
      <c r="L54" s="71">
        <v>43297</v>
      </c>
      <c r="M54" s="71">
        <v>43327</v>
      </c>
      <c r="N54" s="77">
        <v>-2.7825778298301001E-3</v>
      </c>
      <c r="O54" s="77">
        <f>IF(ISNA(INDEX('5b. Spot rates'!$C$2:$C$1000,MATCH(L54,'5b. Spot rates'!$A$2:$A$1000,0))+N54),0,INDEX('5b. Spot rates'!$C$2:$C$1000,MATCH(L54,'5b. Spot rates'!$A$2:$A$1000,0))+N54)</f>
        <v>6.4550722170169897E-2</v>
      </c>
      <c r="P54" s="54">
        <f t="shared" si="3"/>
        <v>5305.5388085071145</v>
      </c>
    </row>
    <row r="55" spans="1:16" x14ac:dyDescent="0.3">
      <c r="A55" s="53">
        <v>54</v>
      </c>
      <c r="B55" s="76" t="s">
        <v>55</v>
      </c>
      <c r="C55" s="54">
        <v>1000000</v>
      </c>
      <c r="D55" s="77">
        <f>INDEX('5a. Bond info'!C$2:C$20,MATCH($B55,'5a. Bond info'!$A$2:$A$20,0))</f>
        <v>7.2499999999999995E-2</v>
      </c>
      <c r="E55" s="53">
        <f>INDEX('5a. Bond info'!D$2:D$20,MATCH($B55,'5a. Bond info'!$A$2:$A$20,0))</f>
        <v>2</v>
      </c>
      <c r="F55" s="71">
        <f>INDEX('5a. Bond info'!E$2:E$20,MATCH($B55,'5a. Bond info'!$A$2:$A$20,0))</f>
        <v>43845</v>
      </c>
      <c r="G55" s="71">
        <f>INDEX('5a. Bond info'!F$2:F$20,MATCH($B55,'5a. Bond info'!$A$2:$A$20,0))</f>
        <v>43480</v>
      </c>
      <c r="H55" s="71">
        <f>INDEX('5a. Bond info'!G$2:G$20,MATCH($B55,'5a. Bond info'!$A$2:$A$20,0))</f>
        <v>43661</v>
      </c>
      <c r="I55" s="71">
        <f t="shared" si="1"/>
        <v>43480</v>
      </c>
      <c r="J55" s="71">
        <f t="shared" si="2"/>
        <v>43296</v>
      </c>
      <c r="K55" s="71">
        <f t="shared" si="4"/>
        <v>43297</v>
      </c>
      <c r="L55" s="71">
        <v>43297</v>
      </c>
      <c r="M55" s="71">
        <v>43327</v>
      </c>
      <c r="N55" s="77">
        <v>-2.7825778298301001E-3</v>
      </c>
      <c r="O55" s="77">
        <f>IF(ISNA(INDEX('5b. Spot rates'!$C$2:$C$1000,MATCH(L55,'5b. Spot rates'!$A$2:$A$1000,0))+N55),0,INDEX('5b. Spot rates'!$C$2:$C$1000,MATCH(L55,'5b. Spot rates'!$A$2:$A$1000,0))+N55)</f>
        <v>6.4550722170169897E-2</v>
      </c>
      <c r="P55" s="54">
        <f t="shared" si="3"/>
        <v>5305.5388085071145</v>
      </c>
    </row>
    <row r="56" spans="1:16" x14ac:dyDescent="0.3">
      <c r="A56" s="53">
        <v>55</v>
      </c>
      <c r="B56" s="76" t="s">
        <v>55</v>
      </c>
      <c r="C56" s="54">
        <v>1000000</v>
      </c>
      <c r="D56" s="77">
        <f>INDEX('5a. Bond info'!C$2:C$20,MATCH($B56,'5a. Bond info'!$A$2:$A$20,0))</f>
        <v>7.2499999999999995E-2</v>
      </c>
      <c r="E56" s="53">
        <f>INDEX('5a. Bond info'!D$2:D$20,MATCH($B56,'5a. Bond info'!$A$2:$A$20,0))</f>
        <v>2</v>
      </c>
      <c r="F56" s="71">
        <f>INDEX('5a. Bond info'!E$2:E$20,MATCH($B56,'5a. Bond info'!$A$2:$A$20,0))</f>
        <v>43845</v>
      </c>
      <c r="G56" s="71">
        <f>INDEX('5a. Bond info'!F$2:F$20,MATCH($B56,'5a. Bond info'!$A$2:$A$20,0))</f>
        <v>43480</v>
      </c>
      <c r="H56" s="71">
        <f>INDEX('5a. Bond info'!G$2:G$20,MATCH($B56,'5a. Bond info'!$A$2:$A$20,0))</f>
        <v>43661</v>
      </c>
      <c r="I56" s="71">
        <f t="shared" si="1"/>
        <v>43480</v>
      </c>
      <c r="J56" s="71">
        <f t="shared" si="2"/>
        <v>43296</v>
      </c>
      <c r="K56" s="71">
        <f t="shared" si="4"/>
        <v>43297</v>
      </c>
      <c r="L56" s="71">
        <v>43297</v>
      </c>
      <c r="M56" s="71">
        <v>43327</v>
      </c>
      <c r="N56" s="77">
        <v>-2.7825778298301001E-3</v>
      </c>
      <c r="O56" s="77">
        <f>IF(ISNA(INDEX('5b. Spot rates'!$C$2:$C$1000,MATCH(L56,'5b. Spot rates'!$A$2:$A$1000,0))+N56),0,INDEX('5b. Spot rates'!$C$2:$C$1000,MATCH(L56,'5b. Spot rates'!$A$2:$A$1000,0))+N56)</f>
        <v>6.4550722170169897E-2</v>
      </c>
      <c r="P56" s="54">
        <f t="shared" si="3"/>
        <v>5305.5388085071145</v>
      </c>
    </row>
    <row r="57" spans="1:16" x14ac:dyDescent="0.3">
      <c r="A57" s="53">
        <v>56</v>
      </c>
      <c r="B57" s="76" t="s">
        <v>55</v>
      </c>
      <c r="C57" s="54">
        <v>1000000</v>
      </c>
      <c r="D57" s="77">
        <f>INDEX('5a. Bond info'!C$2:C$20,MATCH($B57,'5a. Bond info'!$A$2:$A$20,0))</f>
        <v>7.2499999999999995E-2</v>
      </c>
      <c r="E57" s="53">
        <f>INDEX('5a. Bond info'!D$2:D$20,MATCH($B57,'5a. Bond info'!$A$2:$A$20,0))</f>
        <v>2</v>
      </c>
      <c r="F57" s="71">
        <f>INDEX('5a. Bond info'!E$2:E$20,MATCH($B57,'5a. Bond info'!$A$2:$A$20,0))</f>
        <v>43845</v>
      </c>
      <c r="G57" s="71">
        <f>INDEX('5a. Bond info'!F$2:F$20,MATCH($B57,'5a. Bond info'!$A$2:$A$20,0))</f>
        <v>43480</v>
      </c>
      <c r="H57" s="71">
        <f>INDEX('5a. Bond info'!G$2:G$20,MATCH($B57,'5a. Bond info'!$A$2:$A$20,0))</f>
        <v>43661</v>
      </c>
      <c r="I57" s="71">
        <f t="shared" si="1"/>
        <v>43480</v>
      </c>
      <c r="J57" s="71">
        <f t="shared" si="2"/>
        <v>43296</v>
      </c>
      <c r="K57" s="71">
        <f t="shared" si="4"/>
        <v>43297</v>
      </c>
      <c r="L57" s="71">
        <v>43297</v>
      </c>
      <c r="M57" s="71">
        <v>43327</v>
      </c>
      <c r="N57" s="77">
        <v>-2.7825778298301001E-3</v>
      </c>
      <c r="O57" s="77">
        <f>IF(ISNA(INDEX('5b. Spot rates'!$C$2:$C$1000,MATCH(L57,'5b. Spot rates'!$A$2:$A$1000,0))+N57),0,INDEX('5b. Spot rates'!$C$2:$C$1000,MATCH(L57,'5b. Spot rates'!$A$2:$A$1000,0))+N57)</f>
        <v>6.4550722170169897E-2</v>
      </c>
      <c r="P57" s="54">
        <f t="shared" si="3"/>
        <v>5305.5388085071145</v>
      </c>
    </row>
    <row r="58" spans="1:16" x14ac:dyDescent="0.3">
      <c r="A58" s="53">
        <v>57</v>
      </c>
      <c r="B58" s="76" t="s">
        <v>55</v>
      </c>
      <c r="C58" s="54">
        <v>1000000</v>
      </c>
      <c r="D58" s="77">
        <f>INDEX('5a. Bond info'!C$2:C$20,MATCH($B58,'5a. Bond info'!$A$2:$A$20,0))</f>
        <v>7.2499999999999995E-2</v>
      </c>
      <c r="E58" s="53">
        <f>INDEX('5a. Bond info'!D$2:D$20,MATCH($B58,'5a. Bond info'!$A$2:$A$20,0))</f>
        <v>2</v>
      </c>
      <c r="F58" s="71">
        <f>INDEX('5a. Bond info'!E$2:E$20,MATCH($B58,'5a. Bond info'!$A$2:$A$20,0))</f>
        <v>43845</v>
      </c>
      <c r="G58" s="71">
        <f>INDEX('5a. Bond info'!F$2:F$20,MATCH($B58,'5a. Bond info'!$A$2:$A$20,0))</f>
        <v>43480</v>
      </c>
      <c r="H58" s="71">
        <f>INDEX('5a. Bond info'!G$2:G$20,MATCH($B58,'5a. Bond info'!$A$2:$A$20,0))</f>
        <v>43661</v>
      </c>
      <c r="I58" s="71">
        <f t="shared" si="1"/>
        <v>43480</v>
      </c>
      <c r="J58" s="71">
        <f t="shared" si="2"/>
        <v>43296</v>
      </c>
      <c r="K58" s="71">
        <f t="shared" si="4"/>
        <v>43297</v>
      </c>
      <c r="L58" s="71">
        <v>43297</v>
      </c>
      <c r="M58" s="71">
        <v>43327</v>
      </c>
      <c r="N58" s="77">
        <v>-2.7825778298301001E-3</v>
      </c>
      <c r="O58" s="77">
        <f>IF(ISNA(INDEX('5b. Spot rates'!$C$2:$C$1000,MATCH(L58,'5b. Spot rates'!$A$2:$A$1000,0))+N58),0,INDEX('5b. Spot rates'!$C$2:$C$1000,MATCH(L58,'5b. Spot rates'!$A$2:$A$1000,0))+N58)</f>
        <v>6.4550722170169897E-2</v>
      </c>
      <c r="P58" s="54">
        <f t="shared" si="3"/>
        <v>5305.5388085071145</v>
      </c>
    </row>
    <row r="59" spans="1:16" x14ac:dyDescent="0.3">
      <c r="A59" s="53">
        <v>58</v>
      </c>
      <c r="B59" s="76" t="s">
        <v>55</v>
      </c>
      <c r="C59" s="54">
        <v>1000000</v>
      </c>
      <c r="D59" s="77">
        <f>INDEX('5a. Bond info'!C$2:C$20,MATCH($B59,'5a. Bond info'!$A$2:$A$20,0))</f>
        <v>7.2499999999999995E-2</v>
      </c>
      <c r="E59" s="53">
        <f>INDEX('5a. Bond info'!D$2:D$20,MATCH($B59,'5a. Bond info'!$A$2:$A$20,0))</f>
        <v>2</v>
      </c>
      <c r="F59" s="71">
        <f>INDEX('5a. Bond info'!E$2:E$20,MATCH($B59,'5a. Bond info'!$A$2:$A$20,0))</f>
        <v>43845</v>
      </c>
      <c r="G59" s="71">
        <f>INDEX('5a. Bond info'!F$2:F$20,MATCH($B59,'5a. Bond info'!$A$2:$A$20,0))</f>
        <v>43480</v>
      </c>
      <c r="H59" s="71">
        <f>INDEX('5a. Bond info'!G$2:G$20,MATCH($B59,'5a. Bond info'!$A$2:$A$20,0))</f>
        <v>43661</v>
      </c>
      <c r="I59" s="71">
        <f t="shared" si="1"/>
        <v>43480</v>
      </c>
      <c r="J59" s="71">
        <f t="shared" si="2"/>
        <v>43296</v>
      </c>
      <c r="K59" s="71">
        <f t="shared" si="4"/>
        <v>43297</v>
      </c>
      <c r="L59" s="71">
        <v>43297</v>
      </c>
      <c r="M59" s="71">
        <v>43327</v>
      </c>
      <c r="N59" s="77">
        <v>-2.7825778298301001E-3</v>
      </c>
      <c r="O59" s="77">
        <f>IF(ISNA(INDEX('5b. Spot rates'!$C$2:$C$1000,MATCH(L59,'5b. Spot rates'!$A$2:$A$1000,0))+N59),0,INDEX('5b. Spot rates'!$C$2:$C$1000,MATCH(L59,'5b. Spot rates'!$A$2:$A$1000,0))+N59)</f>
        <v>6.4550722170169897E-2</v>
      </c>
      <c r="P59" s="54">
        <f t="shared" si="3"/>
        <v>5305.5388085071145</v>
      </c>
    </row>
    <row r="60" spans="1:16" x14ac:dyDescent="0.3">
      <c r="A60" s="53">
        <v>59</v>
      </c>
      <c r="B60" s="76" t="s">
        <v>55</v>
      </c>
      <c r="C60" s="54">
        <v>1000000</v>
      </c>
      <c r="D60" s="77">
        <f>INDEX('5a. Bond info'!C$2:C$20,MATCH($B60,'5a. Bond info'!$A$2:$A$20,0))</f>
        <v>7.2499999999999995E-2</v>
      </c>
      <c r="E60" s="53">
        <f>INDEX('5a. Bond info'!D$2:D$20,MATCH($B60,'5a. Bond info'!$A$2:$A$20,0))</f>
        <v>2</v>
      </c>
      <c r="F60" s="71">
        <f>INDEX('5a. Bond info'!E$2:E$20,MATCH($B60,'5a. Bond info'!$A$2:$A$20,0))</f>
        <v>43845</v>
      </c>
      <c r="G60" s="71">
        <f>INDEX('5a. Bond info'!F$2:F$20,MATCH($B60,'5a. Bond info'!$A$2:$A$20,0))</f>
        <v>43480</v>
      </c>
      <c r="H60" s="71">
        <f>INDEX('5a. Bond info'!G$2:G$20,MATCH($B60,'5a. Bond info'!$A$2:$A$20,0))</f>
        <v>43661</v>
      </c>
      <c r="I60" s="71">
        <f t="shared" si="1"/>
        <v>43480</v>
      </c>
      <c r="J60" s="71">
        <f t="shared" si="2"/>
        <v>43296</v>
      </c>
      <c r="K60" s="71">
        <f t="shared" si="4"/>
        <v>43297</v>
      </c>
      <c r="L60" s="71">
        <v>43297</v>
      </c>
      <c r="M60" s="71">
        <v>43327</v>
      </c>
      <c r="N60" s="77">
        <v>-2.7825778298301001E-3</v>
      </c>
      <c r="O60" s="77">
        <f>IF(ISNA(INDEX('5b. Spot rates'!$C$2:$C$1000,MATCH(L60,'5b. Spot rates'!$A$2:$A$1000,0))+N60),0,INDEX('5b. Spot rates'!$C$2:$C$1000,MATCH(L60,'5b. Spot rates'!$A$2:$A$1000,0))+N60)</f>
        <v>6.4550722170169897E-2</v>
      </c>
      <c r="P60" s="54">
        <f t="shared" si="3"/>
        <v>5305.5388085071145</v>
      </c>
    </row>
    <row r="61" spans="1:16" x14ac:dyDescent="0.3">
      <c r="A61" s="53">
        <v>60</v>
      </c>
      <c r="B61" s="76" t="s">
        <v>55</v>
      </c>
      <c r="C61" s="54">
        <v>1000000</v>
      </c>
      <c r="D61" s="77">
        <f>INDEX('5a. Bond info'!C$2:C$20,MATCH($B61,'5a. Bond info'!$A$2:$A$20,0))</f>
        <v>7.2499999999999995E-2</v>
      </c>
      <c r="E61" s="53">
        <f>INDEX('5a. Bond info'!D$2:D$20,MATCH($B61,'5a. Bond info'!$A$2:$A$20,0))</f>
        <v>2</v>
      </c>
      <c r="F61" s="71">
        <f>INDEX('5a. Bond info'!E$2:E$20,MATCH($B61,'5a. Bond info'!$A$2:$A$20,0))</f>
        <v>43845</v>
      </c>
      <c r="G61" s="71">
        <f>INDEX('5a. Bond info'!F$2:F$20,MATCH($B61,'5a. Bond info'!$A$2:$A$20,0))</f>
        <v>43480</v>
      </c>
      <c r="H61" s="71">
        <f>INDEX('5a. Bond info'!G$2:G$20,MATCH($B61,'5a. Bond info'!$A$2:$A$20,0))</f>
        <v>43661</v>
      </c>
      <c r="I61" s="71">
        <f t="shared" si="1"/>
        <v>43480</v>
      </c>
      <c r="J61" s="71">
        <f t="shared" si="2"/>
        <v>43296</v>
      </c>
      <c r="K61" s="71">
        <f t="shared" si="4"/>
        <v>43297</v>
      </c>
      <c r="L61" s="71">
        <v>43297</v>
      </c>
      <c r="M61" s="71">
        <v>43327</v>
      </c>
      <c r="N61" s="77">
        <v>-2.7825778298301001E-3</v>
      </c>
      <c r="O61" s="77">
        <f>IF(ISNA(INDEX('5b. Spot rates'!$C$2:$C$1000,MATCH(L61,'5b. Spot rates'!$A$2:$A$1000,0))+N61),0,INDEX('5b. Spot rates'!$C$2:$C$1000,MATCH(L61,'5b. Spot rates'!$A$2:$A$1000,0))+N61)</f>
        <v>6.4550722170169897E-2</v>
      </c>
      <c r="P61" s="54">
        <f t="shared" si="3"/>
        <v>5305.5388085071145</v>
      </c>
    </row>
    <row r="62" spans="1:16" x14ac:dyDescent="0.3">
      <c r="A62" s="53">
        <v>61</v>
      </c>
      <c r="B62" s="76" t="s">
        <v>55</v>
      </c>
      <c r="C62" s="54">
        <v>1000000</v>
      </c>
      <c r="D62" s="77">
        <f>INDEX('5a. Bond info'!C$2:C$20,MATCH($B62,'5a. Bond info'!$A$2:$A$20,0))</f>
        <v>7.2499999999999995E-2</v>
      </c>
      <c r="E62" s="53">
        <f>INDEX('5a. Bond info'!D$2:D$20,MATCH($B62,'5a. Bond info'!$A$2:$A$20,0))</f>
        <v>2</v>
      </c>
      <c r="F62" s="71">
        <f>INDEX('5a. Bond info'!E$2:E$20,MATCH($B62,'5a. Bond info'!$A$2:$A$20,0))</f>
        <v>43845</v>
      </c>
      <c r="G62" s="71">
        <f>INDEX('5a. Bond info'!F$2:F$20,MATCH($B62,'5a. Bond info'!$A$2:$A$20,0))</f>
        <v>43480</v>
      </c>
      <c r="H62" s="71">
        <f>INDEX('5a. Bond info'!G$2:G$20,MATCH($B62,'5a. Bond info'!$A$2:$A$20,0))</f>
        <v>43661</v>
      </c>
      <c r="I62" s="71">
        <f t="shared" si="1"/>
        <v>43480</v>
      </c>
      <c r="J62" s="71">
        <f t="shared" si="2"/>
        <v>43296</v>
      </c>
      <c r="K62" s="71">
        <f t="shared" si="4"/>
        <v>43297</v>
      </c>
      <c r="L62" s="71">
        <v>43297</v>
      </c>
      <c r="M62" s="71">
        <v>43327</v>
      </c>
      <c r="N62" s="77">
        <v>-2.7825778298301001E-3</v>
      </c>
      <c r="O62" s="77">
        <f>IF(ISNA(INDEX('5b. Spot rates'!$C$2:$C$1000,MATCH(L62,'5b. Spot rates'!$A$2:$A$1000,0))+N62),0,INDEX('5b. Spot rates'!$C$2:$C$1000,MATCH(L62,'5b. Spot rates'!$A$2:$A$1000,0))+N62)</f>
        <v>6.4550722170169897E-2</v>
      </c>
      <c r="P62" s="54">
        <f t="shared" si="3"/>
        <v>5305.5388085071145</v>
      </c>
    </row>
    <row r="63" spans="1:16" x14ac:dyDescent="0.3">
      <c r="A63" s="53">
        <v>62</v>
      </c>
      <c r="B63" s="76" t="s">
        <v>55</v>
      </c>
      <c r="C63" s="54">
        <v>1000000</v>
      </c>
      <c r="D63" s="77">
        <f>INDEX('5a. Bond info'!C$2:C$20,MATCH($B63,'5a. Bond info'!$A$2:$A$20,0))</f>
        <v>7.2499999999999995E-2</v>
      </c>
      <c r="E63" s="53">
        <f>INDEX('5a. Bond info'!D$2:D$20,MATCH($B63,'5a. Bond info'!$A$2:$A$20,0))</f>
        <v>2</v>
      </c>
      <c r="F63" s="71">
        <f>INDEX('5a. Bond info'!E$2:E$20,MATCH($B63,'5a. Bond info'!$A$2:$A$20,0))</f>
        <v>43845</v>
      </c>
      <c r="G63" s="71">
        <f>INDEX('5a. Bond info'!F$2:F$20,MATCH($B63,'5a. Bond info'!$A$2:$A$20,0))</f>
        <v>43480</v>
      </c>
      <c r="H63" s="71">
        <f>INDEX('5a. Bond info'!G$2:G$20,MATCH($B63,'5a. Bond info'!$A$2:$A$20,0))</f>
        <v>43661</v>
      </c>
      <c r="I63" s="71">
        <f t="shared" si="1"/>
        <v>43480</v>
      </c>
      <c r="J63" s="71">
        <f t="shared" si="2"/>
        <v>43296</v>
      </c>
      <c r="K63" s="71">
        <f t="shared" si="4"/>
        <v>43297</v>
      </c>
      <c r="L63" s="71">
        <v>43297</v>
      </c>
      <c r="M63" s="71">
        <v>43327</v>
      </c>
      <c r="N63" s="77">
        <v>-2.7825778298301001E-3</v>
      </c>
      <c r="O63" s="77">
        <f>IF(ISNA(INDEX('5b. Spot rates'!$C$2:$C$1000,MATCH(L63,'5b. Spot rates'!$A$2:$A$1000,0))+N63),0,INDEX('5b. Spot rates'!$C$2:$C$1000,MATCH(L63,'5b. Spot rates'!$A$2:$A$1000,0))+N63)</f>
        <v>6.4550722170169897E-2</v>
      </c>
      <c r="P63" s="54">
        <f t="shared" si="3"/>
        <v>5305.5388085071145</v>
      </c>
    </row>
    <row r="64" spans="1:16" x14ac:dyDescent="0.3">
      <c r="A64" s="53">
        <v>63</v>
      </c>
      <c r="B64" s="76" t="s">
        <v>55</v>
      </c>
      <c r="C64" s="54">
        <v>1000000</v>
      </c>
      <c r="D64" s="77">
        <f>INDEX('5a. Bond info'!C$2:C$20,MATCH($B64,'5a. Bond info'!$A$2:$A$20,0))</f>
        <v>7.2499999999999995E-2</v>
      </c>
      <c r="E64" s="53">
        <f>INDEX('5a. Bond info'!D$2:D$20,MATCH($B64,'5a. Bond info'!$A$2:$A$20,0))</f>
        <v>2</v>
      </c>
      <c r="F64" s="71">
        <f>INDEX('5a. Bond info'!E$2:E$20,MATCH($B64,'5a. Bond info'!$A$2:$A$20,0))</f>
        <v>43845</v>
      </c>
      <c r="G64" s="71">
        <f>INDEX('5a. Bond info'!F$2:F$20,MATCH($B64,'5a. Bond info'!$A$2:$A$20,0))</f>
        <v>43480</v>
      </c>
      <c r="H64" s="71">
        <f>INDEX('5a. Bond info'!G$2:G$20,MATCH($B64,'5a. Bond info'!$A$2:$A$20,0))</f>
        <v>43661</v>
      </c>
      <c r="I64" s="71">
        <f t="shared" si="1"/>
        <v>43480</v>
      </c>
      <c r="J64" s="71">
        <f t="shared" si="2"/>
        <v>43296</v>
      </c>
      <c r="K64" s="71">
        <f t="shared" si="4"/>
        <v>43297</v>
      </c>
      <c r="L64" s="71">
        <v>43297</v>
      </c>
      <c r="M64" s="71">
        <v>43327</v>
      </c>
      <c r="N64" s="77">
        <v>-2.7825778298301001E-3</v>
      </c>
      <c r="O64" s="77">
        <f>IF(ISNA(INDEX('5b. Spot rates'!$C$2:$C$1000,MATCH(L64,'5b. Spot rates'!$A$2:$A$1000,0))+N64),0,INDEX('5b. Spot rates'!$C$2:$C$1000,MATCH(L64,'5b. Spot rates'!$A$2:$A$1000,0))+N64)</f>
        <v>6.4550722170169897E-2</v>
      </c>
      <c r="P64" s="54">
        <f t="shared" si="3"/>
        <v>5305.5388085071145</v>
      </c>
    </row>
    <row r="65" spans="1:16" x14ac:dyDescent="0.3">
      <c r="A65" s="53">
        <v>64</v>
      </c>
      <c r="B65" s="76" t="s">
        <v>55</v>
      </c>
      <c r="C65" s="54">
        <v>1000000</v>
      </c>
      <c r="D65" s="77">
        <f>INDEX('5a. Bond info'!C$2:C$20,MATCH($B65,'5a. Bond info'!$A$2:$A$20,0))</f>
        <v>7.2499999999999995E-2</v>
      </c>
      <c r="E65" s="53">
        <f>INDEX('5a. Bond info'!D$2:D$20,MATCH($B65,'5a. Bond info'!$A$2:$A$20,0))</f>
        <v>2</v>
      </c>
      <c r="F65" s="71">
        <f>INDEX('5a. Bond info'!E$2:E$20,MATCH($B65,'5a. Bond info'!$A$2:$A$20,0))</f>
        <v>43845</v>
      </c>
      <c r="G65" s="71">
        <f>INDEX('5a. Bond info'!F$2:F$20,MATCH($B65,'5a. Bond info'!$A$2:$A$20,0))</f>
        <v>43480</v>
      </c>
      <c r="H65" s="71">
        <f>INDEX('5a. Bond info'!G$2:G$20,MATCH($B65,'5a. Bond info'!$A$2:$A$20,0))</f>
        <v>43661</v>
      </c>
      <c r="I65" s="71">
        <f t="shared" si="1"/>
        <v>43480</v>
      </c>
      <c r="J65" s="71">
        <f t="shared" si="2"/>
        <v>43296</v>
      </c>
      <c r="K65" s="71">
        <f t="shared" si="4"/>
        <v>43297</v>
      </c>
      <c r="L65" s="71">
        <v>43297</v>
      </c>
      <c r="M65" s="71">
        <v>43327</v>
      </c>
      <c r="N65" s="77">
        <v>-2.7825778298301001E-3</v>
      </c>
      <c r="O65" s="77">
        <f>IF(ISNA(INDEX('5b. Spot rates'!$C$2:$C$1000,MATCH(L65,'5b. Spot rates'!$A$2:$A$1000,0))+N65),0,INDEX('5b. Spot rates'!$C$2:$C$1000,MATCH(L65,'5b. Spot rates'!$A$2:$A$1000,0))+N65)</f>
        <v>6.4550722170169897E-2</v>
      </c>
      <c r="P65" s="54">
        <f t="shared" si="3"/>
        <v>5305.5388085071145</v>
      </c>
    </row>
    <row r="66" spans="1:16" x14ac:dyDescent="0.3">
      <c r="A66" s="53">
        <v>65</v>
      </c>
      <c r="B66" s="76" t="s">
        <v>55</v>
      </c>
      <c r="C66" s="54">
        <v>1000000</v>
      </c>
      <c r="D66" s="77">
        <f>INDEX('5a. Bond info'!C$2:C$20,MATCH($B66,'5a. Bond info'!$A$2:$A$20,0))</f>
        <v>7.2499999999999995E-2</v>
      </c>
      <c r="E66" s="53">
        <f>INDEX('5a. Bond info'!D$2:D$20,MATCH($B66,'5a. Bond info'!$A$2:$A$20,0))</f>
        <v>2</v>
      </c>
      <c r="F66" s="71">
        <f>INDEX('5a. Bond info'!E$2:E$20,MATCH($B66,'5a. Bond info'!$A$2:$A$20,0))</f>
        <v>43845</v>
      </c>
      <c r="G66" s="71">
        <f>INDEX('5a. Bond info'!F$2:F$20,MATCH($B66,'5a. Bond info'!$A$2:$A$20,0))</f>
        <v>43480</v>
      </c>
      <c r="H66" s="71">
        <f>INDEX('5a. Bond info'!G$2:G$20,MATCH($B66,'5a. Bond info'!$A$2:$A$20,0))</f>
        <v>43661</v>
      </c>
      <c r="I66" s="71">
        <f t="shared" si="1"/>
        <v>43480</v>
      </c>
      <c r="J66" s="71">
        <f t="shared" si="2"/>
        <v>43296</v>
      </c>
      <c r="K66" s="71">
        <f t="shared" ref="K66:K73" si="5">IF(MONTH(WORKDAY(J66-1,1,Hols))=MONTH(J66),WORKDAY(J66-1,1,Hols),WORKDAY(J66,-1,Hols))</f>
        <v>43297</v>
      </c>
      <c r="L66" s="71">
        <v>43297</v>
      </c>
      <c r="M66" s="71">
        <v>43327</v>
      </c>
      <c r="N66" s="77">
        <v>-2.7825778298301001E-3</v>
      </c>
      <c r="O66" s="77">
        <f>IF(ISNA(INDEX('5b. Spot rates'!$C$2:$C$1000,MATCH(L66,'5b. Spot rates'!$A$2:$A$1000,0))+N66),0,INDEX('5b. Spot rates'!$C$2:$C$1000,MATCH(L66,'5b. Spot rates'!$A$2:$A$1000,0))+N66)</f>
        <v>6.4550722170169897E-2</v>
      </c>
      <c r="P66" s="54">
        <f t="shared" si="3"/>
        <v>5305.5388085071145</v>
      </c>
    </row>
    <row r="67" spans="1:16" x14ac:dyDescent="0.3">
      <c r="A67" s="53">
        <v>66</v>
      </c>
      <c r="B67" s="76" t="s">
        <v>55</v>
      </c>
      <c r="C67" s="54">
        <v>1000000</v>
      </c>
      <c r="D67" s="77">
        <f>INDEX('5a. Bond info'!C$2:C$20,MATCH($B67,'5a. Bond info'!$A$2:$A$20,0))</f>
        <v>7.2499999999999995E-2</v>
      </c>
      <c r="E67" s="53">
        <f>INDEX('5a. Bond info'!D$2:D$20,MATCH($B67,'5a. Bond info'!$A$2:$A$20,0))</f>
        <v>2</v>
      </c>
      <c r="F67" s="71">
        <f>INDEX('5a. Bond info'!E$2:E$20,MATCH($B67,'5a. Bond info'!$A$2:$A$20,0))</f>
        <v>43845</v>
      </c>
      <c r="G67" s="71">
        <f>INDEX('5a. Bond info'!F$2:F$20,MATCH($B67,'5a. Bond info'!$A$2:$A$20,0))</f>
        <v>43480</v>
      </c>
      <c r="H67" s="71">
        <f>INDEX('5a. Bond info'!G$2:G$20,MATCH($B67,'5a. Bond info'!$A$2:$A$20,0))</f>
        <v>43661</v>
      </c>
      <c r="I67" s="71">
        <f t="shared" ref="I67:I73" si="6">MIN(G67:H67)</f>
        <v>43480</v>
      </c>
      <c r="J67" s="71">
        <f t="shared" ref="J67:J73" si="7">MAX(DATE(2017,8,1),EDATE(I67,-6))</f>
        <v>43296</v>
      </c>
      <c r="K67" s="71">
        <f t="shared" si="5"/>
        <v>43297</v>
      </c>
      <c r="L67" s="71">
        <v>43297</v>
      </c>
      <c r="M67" s="71">
        <v>43327</v>
      </c>
      <c r="N67" s="77">
        <v>-2.7825778298301001E-3</v>
      </c>
      <c r="O67" s="77">
        <f>IF(ISNA(INDEX('5b. Spot rates'!$C$2:$C$1000,MATCH(L67,'5b. Spot rates'!$A$2:$A$1000,0))+N67),0,INDEX('5b. Spot rates'!$C$2:$C$1000,MATCH(L67,'5b. Spot rates'!$A$2:$A$1000,0))+N67)</f>
        <v>6.4550722170169897E-2</v>
      </c>
      <c r="P67" s="54">
        <f t="shared" ref="P67:P73" si="8">C67*O67*(M67-L67)/365</f>
        <v>5305.5388085071145</v>
      </c>
    </row>
    <row r="68" spans="1:16" x14ac:dyDescent="0.3">
      <c r="A68" s="53">
        <v>67</v>
      </c>
      <c r="B68" s="76" t="s">
        <v>55</v>
      </c>
      <c r="C68" s="54">
        <v>1000000</v>
      </c>
      <c r="D68" s="77">
        <f>INDEX('5a. Bond info'!C$2:C$20,MATCH($B68,'5a. Bond info'!$A$2:$A$20,0))</f>
        <v>7.2499999999999995E-2</v>
      </c>
      <c r="E68" s="53">
        <f>INDEX('5a. Bond info'!D$2:D$20,MATCH($B68,'5a. Bond info'!$A$2:$A$20,0))</f>
        <v>2</v>
      </c>
      <c r="F68" s="71">
        <f>INDEX('5a. Bond info'!E$2:E$20,MATCH($B68,'5a. Bond info'!$A$2:$A$20,0))</f>
        <v>43845</v>
      </c>
      <c r="G68" s="71">
        <f>INDEX('5a. Bond info'!F$2:F$20,MATCH($B68,'5a. Bond info'!$A$2:$A$20,0))</f>
        <v>43480</v>
      </c>
      <c r="H68" s="71">
        <f>INDEX('5a. Bond info'!G$2:G$20,MATCH($B68,'5a. Bond info'!$A$2:$A$20,0))</f>
        <v>43661</v>
      </c>
      <c r="I68" s="71">
        <f t="shared" si="6"/>
        <v>43480</v>
      </c>
      <c r="J68" s="71">
        <f t="shared" si="7"/>
        <v>43296</v>
      </c>
      <c r="K68" s="71">
        <f t="shared" si="5"/>
        <v>43297</v>
      </c>
      <c r="L68" s="71">
        <v>43297</v>
      </c>
      <c r="M68" s="71">
        <v>43327</v>
      </c>
      <c r="N68" s="77">
        <v>-2.7825778298301001E-3</v>
      </c>
      <c r="O68" s="77">
        <f>IF(ISNA(INDEX('5b. Spot rates'!$C$2:$C$1000,MATCH(L68,'5b. Spot rates'!$A$2:$A$1000,0))+N68),0,INDEX('5b. Spot rates'!$C$2:$C$1000,MATCH(L68,'5b. Spot rates'!$A$2:$A$1000,0))+N68)</f>
        <v>6.4550722170169897E-2</v>
      </c>
      <c r="P68" s="54">
        <f t="shared" si="8"/>
        <v>5305.5388085071145</v>
      </c>
    </row>
    <row r="69" spans="1:16" x14ac:dyDescent="0.3">
      <c r="A69" s="53">
        <v>68</v>
      </c>
      <c r="B69" s="76" t="s">
        <v>55</v>
      </c>
      <c r="C69" s="54">
        <v>1000000</v>
      </c>
      <c r="D69" s="77">
        <f>INDEX('5a. Bond info'!C$2:C$20,MATCH($B69,'5a. Bond info'!$A$2:$A$20,0))</f>
        <v>7.2499999999999995E-2</v>
      </c>
      <c r="E69" s="53">
        <f>INDEX('5a. Bond info'!D$2:D$20,MATCH($B69,'5a. Bond info'!$A$2:$A$20,0))</f>
        <v>2</v>
      </c>
      <c r="F69" s="71">
        <f>INDEX('5a. Bond info'!E$2:E$20,MATCH($B69,'5a. Bond info'!$A$2:$A$20,0))</f>
        <v>43845</v>
      </c>
      <c r="G69" s="71">
        <f>INDEX('5a. Bond info'!F$2:F$20,MATCH($B69,'5a. Bond info'!$A$2:$A$20,0))</f>
        <v>43480</v>
      </c>
      <c r="H69" s="71">
        <f>INDEX('5a. Bond info'!G$2:G$20,MATCH($B69,'5a. Bond info'!$A$2:$A$20,0))</f>
        <v>43661</v>
      </c>
      <c r="I69" s="71">
        <f t="shared" si="6"/>
        <v>43480</v>
      </c>
      <c r="J69" s="71">
        <f t="shared" si="7"/>
        <v>43296</v>
      </c>
      <c r="K69" s="71">
        <f t="shared" si="5"/>
        <v>43297</v>
      </c>
      <c r="L69" s="71">
        <v>43297</v>
      </c>
      <c r="M69" s="71">
        <v>43327</v>
      </c>
      <c r="N69" s="77">
        <v>-2.7825778298301001E-3</v>
      </c>
      <c r="O69" s="77">
        <f>IF(ISNA(INDEX('5b. Spot rates'!$C$2:$C$1000,MATCH(L69,'5b. Spot rates'!$A$2:$A$1000,0))+N69),0,INDEX('5b. Spot rates'!$C$2:$C$1000,MATCH(L69,'5b. Spot rates'!$A$2:$A$1000,0))+N69)</f>
        <v>6.4550722170169897E-2</v>
      </c>
      <c r="P69" s="54">
        <f t="shared" si="8"/>
        <v>5305.5388085071145</v>
      </c>
    </row>
    <row r="70" spans="1:16" x14ac:dyDescent="0.3">
      <c r="A70" s="53">
        <v>69</v>
      </c>
      <c r="B70" s="76" t="s">
        <v>55</v>
      </c>
      <c r="C70" s="54">
        <v>1000000</v>
      </c>
      <c r="D70" s="77">
        <f>INDEX('5a. Bond info'!C$2:C$20,MATCH($B70,'5a. Bond info'!$A$2:$A$20,0))</f>
        <v>7.2499999999999995E-2</v>
      </c>
      <c r="E70" s="53">
        <f>INDEX('5a. Bond info'!D$2:D$20,MATCH($B70,'5a. Bond info'!$A$2:$A$20,0))</f>
        <v>2</v>
      </c>
      <c r="F70" s="71">
        <f>INDEX('5a. Bond info'!E$2:E$20,MATCH($B70,'5a. Bond info'!$A$2:$A$20,0))</f>
        <v>43845</v>
      </c>
      <c r="G70" s="71">
        <f>INDEX('5a. Bond info'!F$2:F$20,MATCH($B70,'5a. Bond info'!$A$2:$A$20,0))</f>
        <v>43480</v>
      </c>
      <c r="H70" s="71">
        <f>INDEX('5a. Bond info'!G$2:G$20,MATCH($B70,'5a. Bond info'!$A$2:$A$20,0))</f>
        <v>43661</v>
      </c>
      <c r="I70" s="71">
        <f t="shared" si="6"/>
        <v>43480</v>
      </c>
      <c r="J70" s="71">
        <f t="shared" si="7"/>
        <v>43296</v>
      </c>
      <c r="K70" s="71">
        <f t="shared" si="5"/>
        <v>43297</v>
      </c>
      <c r="L70" s="71">
        <v>43297</v>
      </c>
      <c r="M70" s="71">
        <v>43327</v>
      </c>
      <c r="N70" s="77">
        <v>-2.7825778298301001E-3</v>
      </c>
      <c r="O70" s="77">
        <f>IF(ISNA(INDEX('5b. Spot rates'!$C$2:$C$1000,MATCH(L70,'5b. Spot rates'!$A$2:$A$1000,0))+N70),0,INDEX('5b. Spot rates'!$C$2:$C$1000,MATCH(L70,'5b. Spot rates'!$A$2:$A$1000,0))+N70)</f>
        <v>6.4550722170169897E-2</v>
      </c>
      <c r="P70" s="54">
        <f t="shared" si="8"/>
        <v>5305.5388085071145</v>
      </c>
    </row>
    <row r="71" spans="1:16" x14ac:dyDescent="0.3">
      <c r="A71" s="53">
        <v>70</v>
      </c>
      <c r="B71" s="76" t="s">
        <v>55</v>
      </c>
      <c r="C71" s="54">
        <v>1000000</v>
      </c>
      <c r="D71" s="77">
        <f>INDEX('5a. Bond info'!C$2:C$20,MATCH($B71,'5a. Bond info'!$A$2:$A$20,0))</f>
        <v>7.2499999999999995E-2</v>
      </c>
      <c r="E71" s="53">
        <f>INDEX('5a. Bond info'!D$2:D$20,MATCH($B71,'5a. Bond info'!$A$2:$A$20,0))</f>
        <v>2</v>
      </c>
      <c r="F71" s="71">
        <f>INDEX('5a. Bond info'!E$2:E$20,MATCH($B71,'5a. Bond info'!$A$2:$A$20,0))</f>
        <v>43845</v>
      </c>
      <c r="G71" s="71">
        <f>INDEX('5a. Bond info'!F$2:F$20,MATCH($B71,'5a. Bond info'!$A$2:$A$20,0))</f>
        <v>43480</v>
      </c>
      <c r="H71" s="71">
        <f>INDEX('5a. Bond info'!G$2:G$20,MATCH($B71,'5a. Bond info'!$A$2:$A$20,0))</f>
        <v>43661</v>
      </c>
      <c r="I71" s="71">
        <f t="shared" si="6"/>
        <v>43480</v>
      </c>
      <c r="J71" s="71">
        <f t="shared" si="7"/>
        <v>43296</v>
      </c>
      <c r="K71" s="71">
        <f t="shared" si="5"/>
        <v>43297</v>
      </c>
      <c r="L71" s="71">
        <v>43297</v>
      </c>
      <c r="M71" s="71">
        <v>43327</v>
      </c>
      <c r="N71" s="77">
        <v>-2.7825778298301001E-3</v>
      </c>
      <c r="O71" s="77">
        <f>IF(ISNA(INDEX('5b. Spot rates'!$C$2:$C$1000,MATCH(L71,'5b. Spot rates'!$A$2:$A$1000,0))+N71),0,INDEX('5b. Spot rates'!$C$2:$C$1000,MATCH(L71,'5b. Spot rates'!$A$2:$A$1000,0))+N71)</f>
        <v>6.4550722170169897E-2</v>
      </c>
      <c r="P71" s="54">
        <f t="shared" si="8"/>
        <v>5305.5388085071145</v>
      </c>
    </row>
    <row r="72" spans="1:16" x14ac:dyDescent="0.3">
      <c r="A72" s="53">
        <v>71</v>
      </c>
      <c r="B72" s="76" t="s">
        <v>55</v>
      </c>
      <c r="C72" s="54">
        <v>1000000</v>
      </c>
      <c r="D72" s="77">
        <f>INDEX('5a. Bond info'!C$2:C$20,MATCH($B72,'5a. Bond info'!$A$2:$A$20,0))</f>
        <v>7.2499999999999995E-2</v>
      </c>
      <c r="E72" s="53">
        <f>INDEX('5a. Bond info'!D$2:D$20,MATCH($B72,'5a. Bond info'!$A$2:$A$20,0))</f>
        <v>2</v>
      </c>
      <c r="F72" s="71">
        <f>INDEX('5a. Bond info'!E$2:E$20,MATCH($B72,'5a. Bond info'!$A$2:$A$20,0))</f>
        <v>43845</v>
      </c>
      <c r="G72" s="71">
        <f>INDEX('5a. Bond info'!F$2:F$20,MATCH($B72,'5a. Bond info'!$A$2:$A$20,0))</f>
        <v>43480</v>
      </c>
      <c r="H72" s="71">
        <f>INDEX('5a. Bond info'!G$2:G$20,MATCH($B72,'5a. Bond info'!$A$2:$A$20,0))</f>
        <v>43661</v>
      </c>
      <c r="I72" s="71">
        <f t="shared" si="6"/>
        <v>43480</v>
      </c>
      <c r="J72" s="71">
        <f t="shared" si="7"/>
        <v>43296</v>
      </c>
      <c r="K72" s="71">
        <f t="shared" si="5"/>
        <v>43297</v>
      </c>
      <c r="L72" s="71">
        <v>43297</v>
      </c>
      <c r="M72" s="71">
        <v>43327</v>
      </c>
      <c r="N72" s="77">
        <v>-2.7825778298301001E-3</v>
      </c>
      <c r="O72" s="77">
        <f>IF(ISNA(INDEX('5b. Spot rates'!$C$2:$C$1000,MATCH(L72,'5b. Spot rates'!$A$2:$A$1000,0))+N72),0,INDEX('5b. Spot rates'!$C$2:$C$1000,MATCH(L72,'5b. Spot rates'!$A$2:$A$1000,0))+N72)</f>
        <v>6.4550722170169897E-2</v>
      </c>
      <c r="P72" s="54">
        <f t="shared" si="8"/>
        <v>5305.5388085071145</v>
      </c>
    </row>
    <row r="73" spans="1:16" x14ac:dyDescent="0.3">
      <c r="A73" s="53">
        <v>72</v>
      </c>
      <c r="B73" s="76" t="s">
        <v>55</v>
      </c>
      <c r="C73" s="54">
        <v>1000000</v>
      </c>
      <c r="D73" s="77">
        <f>INDEX('5a. Bond info'!C$2:C$20,MATCH($B73,'5a. Bond info'!$A$2:$A$20,0))</f>
        <v>7.2499999999999995E-2</v>
      </c>
      <c r="E73" s="53">
        <f>INDEX('5a. Bond info'!D$2:D$20,MATCH($B73,'5a. Bond info'!$A$2:$A$20,0))</f>
        <v>2</v>
      </c>
      <c r="F73" s="71">
        <f>INDEX('5a. Bond info'!E$2:E$20,MATCH($B73,'5a. Bond info'!$A$2:$A$20,0))</f>
        <v>43845</v>
      </c>
      <c r="G73" s="71">
        <f>INDEX('5a. Bond info'!F$2:F$20,MATCH($B73,'5a. Bond info'!$A$2:$A$20,0))</f>
        <v>43480</v>
      </c>
      <c r="H73" s="71">
        <f>INDEX('5a. Bond info'!G$2:G$20,MATCH($B73,'5a. Bond info'!$A$2:$A$20,0))</f>
        <v>43661</v>
      </c>
      <c r="I73" s="71">
        <f t="shared" si="6"/>
        <v>43480</v>
      </c>
      <c r="J73" s="71">
        <f t="shared" si="7"/>
        <v>43296</v>
      </c>
      <c r="K73" s="71">
        <f t="shared" si="5"/>
        <v>43297</v>
      </c>
      <c r="L73" s="71">
        <v>43297</v>
      </c>
      <c r="M73" s="71">
        <v>43327</v>
      </c>
      <c r="N73" s="77">
        <v>-2.7825778298301001E-3</v>
      </c>
      <c r="O73" s="77">
        <f>IF(ISNA(INDEX('5b. Spot rates'!$C$2:$C$1000,MATCH(L73,'5b. Spot rates'!$A$2:$A$1000,0))+N73),0,INDEX('5b. Spot rates'!$C$2:$C$1000,MATCH(L73,'5b. Spot rates'!$A$2:$A$1000,0))+N73)</f>
        <v>6.4550722170169897E-2</v>
      </c>
      <c r="P73" s="54">
        <f t="shared" si="8"/>
        <v>5305.5388085071145</v>
      </c>
    </row>
  </sheetData>
  <pageMargins left="0.7" right="0.7" top="0.75" bottom="0.75" header="0.3" footer="0.3"/>
  <ignoredErrors>
    <ignoredError sqref="B2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K9"/>
  <sheetViews>
    <sheetView workbookViewId="0">
      <selection activeCell="K1" sqref="K1"/>
    </sheetView>
  </sheetViews>
  <sheetFormatPr defaultRowHeight="14.4" x14ac:dyDescent="0.3"/>
  <cols>
    <col min="1" max="1" width="6.109375" style="53" customWidth="1"/>
    <col min="2" max="2" width="7.77734375" style="53" customWidth="1"/>
    <col min="3" max="3" width="10.21875" style="53" bestFit="1" customWidth="1"/>
    <col min="4" max="4" width="11.44140625" style="53" customWidth="1"/>
    <col min="5" max="5" width="8.33203125" style="53" customWidth="1"/>
    <col min="6" max="6" width="12.5546875" style="53" customWidth="1"/>
    <col min="7" max="8" width="13.77734375" style="53" customWidth="1"/>
    <col min="9" max="9" width="8.88671875" style="53" customWidth="1"/>
    <col min="10" max="10" width="13.109375" style="53" customWidth="1"/>
    <col min="11" max="11" width="9.33203125" style="53" bestFit="1" customWidth="1"/>
  </cols>
  <sheetData>
    <row r="1" spans="1:11" x14ac:dyDescent="0.3">
      <c r="A1" s="31" t="s">
        <v>38</v>
      </c>
      <c r="B1" s="31" t="s">
        <v>39</v>
      </c>
      <c r="C1" s="31" t="s">
        <v>5</v>
      </c>
      <c r="D1" s="31" t="s">
        <v>8</v>
      </c>
      <c r="E1" s="31" t="s">
        <v>40</v>
      </c>
      <c r="F1" s="31" t="s">
        <v>4</v>
      </c>
      <c r="G1" s="31" t="s">
        <v>44</v>
      </c>
      <c r="H1" s="31" t="s">
        <v>45</v>
      </c>
      <c r="I1" s="31" t="s">
        <v>52</v>
      </c>
      <c r="J1" s="30" t="s">
        <v>90</v>
      </c>
      <c r="K1" s="30" t="s">
        <v>92</v>
      </c>
    </row>
    <row r="2" spans="1:11" x14ac:dyDescent="0.3">
      <c r="A2" s="53">
        <v>1</v>
      </c>
      <c r="B2" s="76" t="s">
        <v>71</v>
      </c>
      <c r="C2" s="54">
        <v>1000000</v>
      </c>
      <c r="D2" s="77">
        <f>INDEX('5a. Bond info'!C$2:C$20,MATCH($B2,'5a. Bond info'!$A$2:$A$20,0))</f>
        <v>5.5E-2</v>
      </c>
      <c r="E2" s="53">
        <f>INDEX('5a. Bond info'!D$2:D$20,MATCH($B2,'5a. Bond info'!$A$2:$A$20,0))</f>
        <v>6</v>
      </c>
      <c r="F2" s="71">
        <f>INDEX('5a. Bond info'!E$2:E$20,MATCH($B2,'5a. Bond info'!$A$2:$A$20,0))</f>
        <v>45267</v>
      </c>
      <c r="G2" s="71">
        <f>INDEX('5a. Bond info'!F$2:F$20,MATCH($B2,'5a. Bond info'!$A$2:$A$20,0))</f>
        <v>43623</v>
      </c>
      <c r="H2" s="71">
        <f>INDEX('5a. Bond info'!G$2:G$20,MATCH($B2,'5a. Bond info'!$A$2:$A$20,0))</f>
        <v>43441</v>
      </c>
      <c r="I2" s="78">
        <f>INDEX('5a. Bond info'!H$2:H$20,MATCH($B2,'5a. Bond info'!$A$2:$A$20,0))</f>
        <v>51.342070422893798</v>
      </c>
      <c r="J2" s="71">
        <f>MIN(G2:H2)</f>
        <v>43441</v>
      </c>
      <c r="K2" s="54">
        <f>IF(MONTH(J2)=MONTH('1. Portfolio'!$D$7),('1. Portfolio'!$D$8/I2)*C2*D2/2,0)</f>
        <v>0</v>
      </c>
    </row>
    <row r="3" spans="1:11" x14ac:dyDescent="0.3">
      <c r="A3" s="53">
        <v>2</v>
      </c>
      <c r="B3" s="76" t="s">
        <v>71</v>
      </c>
      <c r="C3" s="54">
        <v>1000000</v>
      </c>
      <c r="D3" s="77">
        <f>INDEX('5a. Bond info'!C$2:C$20,MATCH($B3,'5a. Bond info'!$A$2:$A$20,0))</f>
        <v>5.5E-2</v>
      </c>
      <c r="E3" s="53">
        <f>INDEX('5a. Bond info'!D$2:D$20,MATCH($B3,'5a. Bond info'!$A$2:$A$20,0))</f>
        <v>6</v>
      </c>
      <c r="F3" s="71">
        <f>INDEX('5a. Bond info'!E$2:E$20,MATCH($B3,'5a. Bond info'!$A$2:$A$20,0))</f>
        <v>45267</v>
      </c>
      <c r="G3" s="71">
        <f>INDEX('5a. Bond info'!F$2:F$20,MATCH($B3,'5a. Bond info'!$A$2:$A$20,0))</f>
        <v>43623</v>
      </c>
      <c r="H3" s="71">
        <f>INDEX('5a. Bond info'!G$2:G$20,MATCH($B3,'5a. Bond info'!$A$2:$A$20,0))</f>
        <v>43441</v>
      </c>
      <c r="I3" s="78">
        <f>INDEX('5a. Bond info'!H$2:H$20,MATCH($B3,'5a. Bond info'!$A$2:$A$20,0))</f>
        <v>51.342070422893798</v>
      </c>
      <c r="J3" s="71">
        <f t="shared" ref="J3:J9" si="0">MIN(G3:H3)</f>
        <v>43441</v>
      </c>
      <c r="K3" s="54">
        <f>IF(MONTH(J3)=MONTH('1. Portfolio'!$D$7),('1. Portfolio'!$D$8/I3)*C3*D3/2,0)</f>
        <v>0</v>
      </c>
    </row>
    <row r="4" spans="1:11" x14ac:dyDescent="0.3">
      <c r="A4" s="53">
        <v>3</v>
      </c>
      <c r="B4" s="76" t="s">
        <v>71</v>
      </c>
      <c r="C4" s="54">
        <v>1000000</v>
      </c>
      <c r="D4" s="77">
        <f>INDEX('5a. Bond info'!C$2:C$20,MATCH($B4,'5a. Bond info'!$A$2:$A$20,0))</f>
        <v>5.5E-2</v>
      </c>
      <c r="E4" s="53">
        <f>INDEX('5a. Bond info'!D$2:D$20,MATCH($B4,'5a. Bond info'!$A$2:$A$20,0))</f>
        <v>6</v>
      </c>
      <c r="F4" s="71">
        <f>INDEX('5a. Bond info'!E$2:E$20,MATCH($B4,'5a. Bond info'!$A$2:$A$20,0))</f>
        <v>45267</v>
      </c>
      <c r="G4" s="71">
        <f>INDEX('5a. Bond info'!F$2:F$20,MATCH($B4,'5a. Bond info'!$A$2:$A$20,0))</f>
        <v>43623</v>
      </c>
      <c r="H4" s="71">
        <f>INDEX('5a. Bond info'!G$2:G$20,MATCH($B4,'5a. Bond info'!$A$2:$A$20,0))</f>
        <v>43441</v>
      </c>
      <c r="I4" s="78">
        <f>INDEX('5a. Bond info'!H$2:H$20,MATCH($B4,'5a. Bond info'!$A$2:$A$20,0))</f>
        <v>51.342070422893798</v>
      </c>
      <c r="J4" s="71">
        <f t="shared" si="0"/>
        <v>43441</v>
      </c>
      <c r="K4" s="54">
        <f>IF(MONTH(J4)=MONTH('1. Portfolio'!$D$7),('1. Portfolio'!$D$8/I4)*C4*D4/2,0)</f>
        <v>0</v>
      </c>
    </row>
    <row r="5" spans="1:11" x14ac:dyDescent="0.3">
      <c r="A5" s="53">
        <v>4</v>
      </c>
      <c r="B5" s="76" t="s">
        <v>71</v>
      </c>
      <c r="C5" s="54">
        <v>1000000</v>
      </c>
      <c r="D5" s="77">
        <f>INDEX('5a. Bond info'!C$2:C$20,MATCH($B5,'5a. Bond info'!$A$2:$A$20,0))</f>
        <v>5.5E-2</v>
      </c>
      <c r="E5" s="53">
        <f>INDEX('5a. Bond info'!D$2:D$20,MATCH($B5,'5a. Bond info'!$A$2:$A$20,0))</f>
        <v>6</v>
      </c>
      <c r="F5" s="71">
        <f>INDEX('5a. Bond info'!E$2:E$20,MATCH($B5,'5a. Bond info'!$A$2:$A$20,0))</f>
        <v>45267</v>
      </c>
      <c r="G5" s="71">
        <f>INDEX('5a. Bond info'!F$2:F$20,MATCH($B5,'5a. Bond info'!$A$2:$A$20,0))</f>
        <v>43623</v>
      </c>
      <c r="H5" s="71">
        <f>INDEX('5a. Bond info'!G$2:G$20,MATCH($B5,'5a. Bond info'!$A$2:$A$20,0))</f>
        <v>43441</v>
      </c>
      <c r="I5" s="78">
        <f>INDEX('5a. Bond info'!H$2:H$20,MATCH($B5,'5a. Bond info'!$A$2:$A$20,0))</f>
        <v>51.342070422893798</v>
      </c>
      <c r="J5" s="71">
        <f t="shared" si="0"/>
        <v>43441</v>
      </c>
      <c r="K5" s="54">
        <f>IF(MONTH(J5)=MONTH('1. Portfolio'!$D$7),('1. Portfolio'!$D$8/I5)*C5*D5/2,0)</f>
        <v>0</v>
      </c>
    </row>
    <row r="6" spans="1:11" x14ac:dyDescent="0.3">
      <c r="A6" s="53">
        <v>5</v>
      </c>
      <c r="B6" s="76" t="s">
        <v>71</v>
      </c>
      <c r="C6" s="54">
        <v>1000000</v>
      </c>
      <c r="D6" s="77">
        <f>INDEX('5a. Bond info'!C$2:C$20,MATCH($B6,'5a. Bond info'!$A$2:$A$20,0))</f>
        <v>5.5E-2</v>
      </c>
      <c r="E6" s="53">
        <f>INDEX('5a. Bond info'!D$2:D$20,MATCH($B6,'5a. Bond info'!$A$2:$A$20,0))</f>
        <v>6</v>
      </c>
      <c r="F6" s="71">
        <f>INDEX('5a. Bond info'!E$2:E$20,MATCH($B6,'5a. Bond info'!$A$2:$A$20,0))</f>
        <v>45267</v>
      </c>
      <c r="G6" s="71">
        <f>INDEX('5a. Bond info'!F$2:F$20,MATCH($B6,'5a. Bond info'!$A$2:$A$20,0))</f>
        <v>43623</v>
      </c>
      <c r="H6" s="71">
        <f>INDEX('5a. Bond info'!G$2:G$20,MATCH($B6,'5a. Bond info'!$A$2:$A$20,0))</f>
        <v>43441</v>
      </c>
      <c r="I6" s="78">
        <f>INDEX('5a. Bond info'!H$2:H$20,MATCH($B6,'5a. Bond info'!$A$2:$A$20,0))</f>
        <v>51.342070422893798</v>
      </c>
      <c r="J6" s="71">
        <f t="shared" si="0"/>
        <v>43441</v>
      </c>
      <c r="K6" s="54">
        <f>IF(MONTH(J6)=MONTH('1. Portfolio'!$D$7),('1. Portfolio'!$D$8/I6)*C6*D6/2,0)</f>
        <v>0</v>
      </c>
    </row>
    <row r="7" spans="1:11" x14ac:dyDescent="0.3">
      <c r="A7" s="53">
        <v>6</v>
      </c>
      <c r="B7" s="76" t="s">
        <v>71</v>
      </c>
      <c r="C7" s="54">
        <v>1000000</v>
      </c>
      <c r="D7" s="77">
        <f>INDEX('5a. Bond info'!C$2:C$20,MATCH($B7,'5a. Bond info'!$A$2:$A$20,0))</f>
        <v>5.5E-2</v>
      </c>
      <c r="E7" s="53">
        <f>INDEX('5a. Bond info'!D$2:D$20,MATCH($B7,'5a. Bond info'!$A$2:$A$20,0))</f>
        <v>6</v>
      </c>
      <c r="F7" s="71">
        <f>INDEX('5a. Bond info'!E$2:E$20,MATCH($B7,'5a. Bond info'!$A$2:$A$20,0))</f>
        <v>45267</v>
      </c>
      <c r="G7" s="71">
        <f>INDEX('5a. Bond info'!F$2:F$20,MATCH($B7,'5a. Bond info'!$A$2:$A$20,0))</f>
        <v>43623</v>
      </c>
      <c r="H7" s="71">
        <f>INDEX('5a. Bond info'!G$2:G$20,MATCH($B7,'5a. Bond info'!$A$2:$A$20,0))</f>
        <v>43441</v>
      </c>
      <c r="I7" s="78">
        <f>INDEX('5a. Bond info'!H$2:H$20,MATCH($B7,'5a. Bond info'!$A$2:$A$20,0))</f>
        <v>51.342070422893798</v>
      </c>
      <c r="J7" s="71">
        <f t="shared" si="0"/>
        <v>43441</v>
      </c>
      <c r="K7" s="54">
        <f>IF(MONTH(J7)=MONTH('1. Portfolio'!$D$7),('1. Portfolio'!$D$8/I7)*C7*D7/2,0)</f>
        <v>0</v>
      </c>
    </row>
    <row r="8" spans="1:11" x14ac:dyDescent="0.3">
      <c r="A8" s="53">
        <v>7</v>
      </c>
      <c r="B8" s="76" t="s">
        <v>71</v>
      </c>
      <c r="C8" s="54">
        <v>1000000</v>
      </c>
      <c r="D8" s="77">
        <f>INDEX('5a. Bond info'!C$2:C$20,MATCH($B8,'5a. Bond info'!$A$2:$A$20,0))</f>
        <v>5.5E-2</v>
      </c>
      <c r="E8" s="53">
        <f>INDEX('5a. Bond info'!D$2:D$20,MATCH($B8,'5a. Bond info'!$A$2:$A$20,0))</f>
        <v>6</v>
      </c>
      <c r="F8" s="71">
        <f>INDEX('5a. Bond info'!E$2:E$20,MATCH($B8,'5a. Bond info'!$A$2:$A$20,0))</f>
        <v>45267</v>
      </c>
      <c r="G8" s="71">
        <f>INDEX('5a. Bond info'!F$2:F$20,MATCH($B8,'5a. Bond info'!$A$2:$A$20,0))</f>
        <v>43623</v>
      </c>
      <c r="H8" s="71">
        <f>INDEX('5a. Bond info'!G$2:G$20,MATCH($B8,'5a. Bond info'!$A$2:$A$20,0))</f>
        <v>43441</v>
      </c>
      <c r="I8" s="78">
        <f>INDEX('5a. Bond info'!H$2:H$20,MATCH($B8,'5a. Bond info'!$A$2:$A$20,0))</f>
        <v>51.342070422893798</v>
      </c>
      <c r="J8" s="71">
        <f t="shared" si="0"/>
        <v>43441</v>
      </c>
      <c r="K8" s="54">
        <f>IF(MONTH(J8)=MONTH('1. Portfolio'!$D$7),('1. Portfolio'!$D$8/I8)*C8*D8/2,0)</f>
        <v>0</v>
      </c>
    </row>
    <row r="9" spans="1:11" x14ac:dyDescent="0.3">
      <c r="A9" s="53">
        <v>8</v>
      </c>
      <c r="B9" s="76" t="s">
        <v>71</v>
      </c>
      <c r="C9" s="54">
        <v>1000000</v>
      </c>
      <c r="D9" s="77">
        <f>INDEX('5a. Bond info'!C$2:C$20,MATCH($B9,'5a. Bond info'!$A$2:$A$20,0))</f>
        <v>5.5E-2</v>
      </c>
      <c r="E9" s="53">
        <f>INDEX('5a. Bond info'!D$2:D$20,MATCH($B9,'5a. Bond info'!$A$2:$A$20,0))</f>
        <v>6</v>
      </c>
      <c r="F9" s="71">
        <f>INDEX('5a. Bond info'!E$2:E$20,MATCH($B9,'5a. Bond info'!$A$2:$A$20,0))</f>
        <v>45267</v>
      </c>
      <c r="G9" s="71">
        <f>INDEX('5a. Bond info'!F$2:F$20,MATCH($B9,'5a. Bond info'!$A$2:$A$20,0))</f>
        <v>43623</v>
      </c>
      <c r="H9" s="71">
        <f>INDEX('5a. Bond info'!G$2:G$20,MATCH($B9,'5a. Bond info'!$A$2:$A$20,0))</f>
        <v>43441</v>
      </c>
      <c r="I9" s="78">
        <f>INDEX('5a. Bond info'!H$2:H$20,MATCH($B9,'5a. Bond info'!$A$2:$A$20,0))</f>
        <v>51.342070422893798</v>
      </c>
      <c r="J9" s="71">
        <f t="shared" si="0"/>
        <v>43441</v>
      </c>
      <c r="K9" s="54">
        <f>IF(MONTH(J9)=MONTH('1. Portfolio'!$D$7),('1. Portfolio'!$D$8/I9)*C9*D9/2,0)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O69"/>
  <sheetViews>
    <sheetView showGridLines="0" workbookViewId="0">
      <selection activeCell="P16" sqref="P16"/>
    </sheetView>
  </sheetViews>
  <sheetFormatPr defaultRowHeight="14.4" x14ac:dyDescent="0.3"/>
  <cols>
    <col min="1" max="1" width="3.33203125" customWidth="1"/>
    <col min="2" max="2" width="17.77734375" customWidth="1"/>
    <col min="3" max="3" width="13.6640625" customWidth="1"/>
    <col min="4" max="4" width="10.88671875" customWidth="1"/>
    <col min="5" max="5" width="8.88671875" customWidth="1"/>
    <col min="6" max="6" width="10.33203125" bestFit="1" customWidth="1"/>
    <col min="8" max="8" width="12.109375" customWidth="1"/>
    <col min="9" max="9" width="11.44140625" customWidth="1"/>
    <col min="10" max="10" width="18.21875" customWidth="1"/>
    <col min="11" max="11" width="10.33203125" customWidth="1"/>
    <col min="12" max="12" width="13.21875" customWidth="1"/>
    <col min="13" max="13" width="14" customWidth="1"/>
    <col min="14" max="15" width="8.88671875" customWidth="1"/>
  </cols>
  <sheetData>
    <row r="1" spans="2:15" ht="15" thickBot="1" x14ac:dyDescent="0.35"/>
    <row r="2" spans="2:15" s="7" customFormat="1" ht="26.4" thickBot="1" x14ac:dyDescent="0.55000000000000004">
      <c r="B2" s="38" t="s">
        <v>30</v>
      </c>
      <c r="C2" s="36"/>
      <c r="D2" s="36"/>
      <c r="E2" s="36"/>
      <c r="F2" s="36"/>
      <c r="G2" s="36"/>
      <c r="H2" s="37"/>
    </row>
    <row r="5" spans="2:15" x14ac:dyDescent="0.3">
      <c r="B5" s="39" t="s">
        <v>7</v>
      </c>
      <c r="E5" s="39" t="s">
        <v>9</v>
      </c>
      <c r="F5" s="39" t="s">
        <v>13</v>
      </c>
      <c r="G5" s="39" t="s">
        <v>15</v>
      </c>
      <c r="H5" s="39" t="s">
        <v>18</v>
      </c>
      <c r="J5" s="39" t="s">
        <v>22</v>
      </c>
    </row>
    <row r="6" spans="2:15" x14ac:dyDescent="0.3">
      <c r="B6" s="53" t="s">
        <v>3</v>
      </c>
      <c r="C6" s="13">
        <v>43297</v>
      </c>
      <c r="E6" s="78" t="s">
        <v>17</v>
      </c>
      <c r="F6" s="71">
        <f>WORKDAY(C6,1,Hols)</f>
        <v>43298</v>
      </c>
      <c r="G6" s="79">
        <f>C10</f>
        <v>6.3099999999999989E-2</v>
      </c>
      <c r="H6" s="80">
        <f>(G7-G6)/(F7-F6)</f>
        <v>1.4111000000000031E-4</v>
      </c>
      <c r="J6" s="53" t="s">
        <v>27</v>
      </c>
      <c r="K6" s="81">
        <f>SUM(L18:L23)</f>
        <v>1366.4058707986624</v>
      </c>
    </row>
    <row r="7" spans="2:15" x14ac:dyDescent="0.3">
      <c r="B7" s="53" t="s">
        <v>42</v>
      </c>
      <c r="C7" s="13">
        <v>43480</v>
      </c>
      <c r="E7" s="78" t="s">
        <v>10</v>
      </c>
      <c r="F7" s="71">
        <f>WORKDAY(EDATE(C6,1)-1,1,Hols)</f>
        <v>43328</v>
      </c>
      <c r="G7" s="79">
        <f t="shared" ref="G7:G9" si="0">C11</f>
        <v>6.7333299999999999E-2</v>
      </c>
      <c r="H7" s="80">
        <f t="shared" ref="H7:H8" si="1">(G8-G7)/(F8-F7)</f>
        <v>3.6885245901639379E-5</v>
      </c>
      <c r="J7" s="53" t="s">
        <v>6</v>
      </c>
      <c r="K7" s="12">
        <f>(-1)*K6/($C$8*SUMPRODUCT(H18:H23,F18:F23))</f>
        <v>-2.7825778298301001E-3</v>
      </c>
    </row>
    <row r="8" spans="2:15" x14ac:dyDescent="0.3">
      <c r="B8" s="53" t="s">
        <v>5</v>
      </c>
      <c r="C8" s="14">
        <v>1000000</v>
      </c>
      <c r="E8" s="78" t="s">
        <v>11</v>
      </c>
      <c r="F8" s="71">
        <f>WORKDAY(EDATE(C6,3)-1,1,Hols)</f>
        <v>43389</v>
      </c>
      <c r="G8" s="79">
        <f t="shared" si="0"/>
        <v>6.9583300000000001E-2</v>
      </c>
      <c r="H8" s="80">
        <f t="shared" si="1"/>
        <v>6.0689130434782632E-5</v>
      </c>
      <c r="J8" s="53" t="s">
        <v>28</v>
      </c>
      <c r="K8" s="81">
        <f>SUM(M18:M23)</f>
        <v>0</v>
      </c>
    </row>
    <row r="9" spans="2:15" x14ac:dyDescent="0.3">
      <c r="B9" s="53" t="s">
        <v>8</v>
      </c>
      <c r="C9" s="15">
        <v>7.2499999999999995E-2</v>
      </c>
      <c r="E9" s="78" t="s">
        <v>12</v>
      </c>
      <c r="F9" s="71">
        <f>WORKDAY(EDATE(C6,6)-1,1,Hols)</f>
        <v>43481</v>
      </c>
      <c r="G9" s="79">
        <f t="shared" si="0"/>
        <v>7.5166700000000003E-2</v>
      </c>
      <c r="H9" s="53"/>
    </row>
    <row r="10" spans="2:15" x14ac:dyDescent="0.3">
      <c r="B10" s="53" t="s">
        <v>16</v>
      </c>
      <c r="C10" s="79">
        <f>INDEX('5b. Spot rates'!B2:B1000,MATCH($C$6,'5b. Spot rates'!$A$2:$A$1000,0))</f>
        <v>6.3099999999999989E-2</v>
      </c>
      <c r="E10" s="1"/>
    </row>
    <row r="11" spans="2:15" x14ac:dyDescent="0.3">
      <c r="B11" s="53" t="s">
        <v>0</v>
      </c>
      <c r="C11" s="79">
        <f>INDEX('5b. Spot rates'!C2:C1000,MATCH($C$6,'5b. Spot rates'!$A$2:$A$1000,0))</f>
        <v>6.7333299999999999E-2</v>
      </c>
      <c r="E11" s="1"/>
    </row>
    <row r="12" spans="2:15" x14ac:dyDescent="0.3">
      <c r="B12" s="53" t="s">
        <v>1</v>
      </c>
      <c r="C12" s="79">
        <f>INDEX('5b. Spot rates'!D2:D1000,MATCH($C$6,'5b. Spot rates'!$A$2:$A$1000,0))</f>
        <v>6.9583300000000001E-2</v>
      </c>
      <c r="E12" s="1"/>
    </row>
    <row r="13" spans="2:15" x14ac:dyDescent="0.3">
      <c r="B13" s="53" t="s">
        <v>2</v>
      </c>
      <c r="C13" s="79">
        <f>INDEX('5b. Spot rates'!E2:E1000,MATCH($C$6,'5b. Spot rates'!$A$2:$A$1000,0))</f>
        <v>7.5166700000000003E-2</v>
      </c>
      <c r="E13" s="1"/>
    </row>
    <row r="14" spans="2:15" x14ac:dyDescent="0.3">
      <c r="C14" s="3"/>
      <c r="O14" s="101" t="s">
        <v>151</v>
      </c>
    </row>
    <row r="15" spans="2:15" x14ac:dyDescent="0.3">
      <c r="C15" s="3"/>
    </row>
    <row r="16" spans="2:15" ht="28.8" x14ac:dyDescent="0.3">
      <c r="B16" s="39" t="s">
        <v>13</v>
      </c>
      <c r="C16" s="39" t="s">
        <v>14</v>
      </c>
      <c r="D16" s="39" t="s">
        <v>20</v>
      </c>
      <c r="E16" s="39" t="s">
        <v>15</v>
      </c>
      <c r="F16" s="30" t="s">
        <v>19</v>
      </c>
      <c r="G16" s="30" t="s">
        <v>21</v>
      </c>
      <c r="H16" s="30" t="s">
        <v>25</v>
      </c>
      <c r="I16" s="30" t="s">
        <v>23</v>
      </c>
      <c r="J16" s="30" t="s">
        <v>84</v>
      </c>
      <c r="K16" s="30" t="s">
        <v>24</v>
      </c>
      <c r="L16" s="30" t="s">
        <v>29</v>
      </c>
      <c r="M16" s="30" t="s">
        <v>26</v>
      </c>
    </row>
    <row r="17" spans="2:13" x14ac:dyDescent="0.3">
      <c r="B17" s="71">
        <f t="shared" ref="B17:B21" si="2">MAX(EDATE(B18,-1),$C$6)</f>
        <v>43297</v>
      </c>
      <c r="C17" s="71">
        <f t="shared" ref="C17:C23" si="3">IF(MONTH(WORKDAY(B17-1,1,Hols))=MONTH(B17),WORKDAY(B17-1,1,Hols),WORKDAY(B17,-1,Hols))</f>
        <v>43297</v>
      </c>
      <c r="D17" s="82">
        <v>0</v>
      </c>
      <c r="E17" s="53"/>
      <c r="F17" s="53"/>
      <c r="G17" s="53"/>
      <c r="H17" s="53"/>
      <c r="I17" s="53"/>
      <c r="J17" s="53"/>
      <c r="K17" s="53"/>
      <c r="L17" s="53"/>
      <c r="M17" s="53"/>
    </row>
    <row r="18" spans="2:13" x14ac:dyDescent="0.3">
      <c r="B18" s="71">
        <f t="shared" si="2"/>
        <v>43327</v>
      </c>
      <c r="C18" s="71">
        <f t="shared" si="3"/>
        <v>43327</v>
      </c>
      <c r="D18" s="82">
        <f>IF(C18&gt;C17,D17+1,0)</f>
        <v>1</v>
      </c>
      <c r="E18" s="77">
        <f>IF(D18=0,,VLOOKUP(C18,$F$6:$H$9,3,TRUE)*(C18-VLOOKUP(C18,$F$6:$H$9,1,TRUE))+VLOOKUP(C18,$F$6:$H$9,2,TRUE))</f>
        <v>6.7192189999999999E-2</v>
      </c>
      <c r="F18" s="73">
        <f>IF(D18=0,,1/(1+E18*(C18-$C$17)/365))</f>
        <v>0.99450768634923514</v>
      </c>
      <c r="G18" s="77">
        <f>IF(D18=0,,IF(D18=1,$C$11,(F17/F18-1)*365/(C18-C17)))</f>
        <v>6.7333299999999999E-2</v>
      </c>
      <c r="H18" s="83">
        <f>(C18-C17)/365</f>
        <v>8.2191780821917804E-2</v>
      </c>
      <c r="I18" s="81">
        <f>$C$8*G18*H18</f>
        <v>5534.2438356164384</v>
      </c>
      <c r="J18" s="77">
        <v>0</v>
      </c>
      <c r="K18" s="81">
        <f t="shared" ref="K18:K22" si="4">$C$8*J18/2</f>
        <v>0</v>
      </c>
      <c r="L18" s="81">
        <f t="shared" ref="L18:L23" si="5">(I18-K18)*F18</f>
        <v>5503.8480326514209</v>
      </c>
      <c r="M18" s="81">
        <f t="shared" ref="M18:M23" si="6">($C$8*(G18+$K$7)*H18-K18)*F18</f>
        <v>5276.399125284488</v>
      </c>
    </row>
    <row r="19" spans="2:13" x14ac:dyDescent="0.3">
      <c r="B19" s="71">
        <f t="shared" si="2"/>
        <v>43358</v>
      </c>
      <c r="C19" s="71">
        <f t="shared" si="3"/>
        <v>43360</v>
      </c>
      <c r="D19" s="82">
        <f t="shared" ref="D19:D23" si="7">IF(C19&gt;C18,D18+1,0)</f>
        <v>2</v>
      </c>
      <c r="E19" s="77">
        <f t="shared" ref="E19:E23" si="8">IF(D19=0,,VLOOKUP(C19,$F$6:$H$9,3,TRUE)*(C19-VLOOKUP(C19,$F$6:$H$9,1,TRUE))+VLOOKUP(C19,$F$6:$H$9,2,TRUE))</f>
        <v>6.8513627868852456E-2</v>
      </c>
      <c r="F19" s="73">
        <f t="shared" ref="F19:F23" si="9">IF(D19=0,,1/(1+E19*(C19-$C$17)/365))</f>
        <v>0.98831257144249596</v>
      </c>
      <c r="G19" s="77">
        <f t="shared" ref="G19:G23" si="10">IF(D19=0,,IF(D19=1,$C$11,(F18/F19-1)*365/(C19-C18)))</f>
        <v>6.9332038733068604E-2</v>
      </c>
      <c r="H19" s="83">
        <f t="shared" ref="H19:H23" si="11">(C19-C18)/365</f>
        <v>9.0410958904109592E-2</v>
      </c>
      <c r="I19" s="81">
        <f t="shared" ref="I19:I23" si="12">$C$8*G19*H19</f>
        <v>6268.3761046336003</v>
      </c>
      <c r="J19" s="77">
        <v>0</v>
      </c>
      <c r="K19" s="81">
        <f t="shared" si="4"/>
        <v>0</v>
      </c>
      <c r="L19" s="81">
        <f t="shared" si="5"/>
        <v>6195.1149067391298</v>
      </c>
      <c r="M19" s="81">
        <f t="shared" si="6"/>
        <v>5946.4796479504648</v>
      </c>
    </row>
    <row r="20" spans="2:13" x14ac:dyDescent="0.3">
      <c r="B20" s="71">
        <f t="shared" si="2"/>
        <v>43388</v>
      </c>
      <c r="C20" s="71">
        <f t="shared" si="3"/>
        <v>43388</v>
      </c>
      <c r="D20" s="82">
        <f t="shared" si="7"/>
        <v>3</v>
      </c>
      <c r="E20" s="77">
        <f t="shared" si="8"/>
        <v>6.9546414754098368E-2</v>
      </c>
      <c r="F20" s="73">
        <f t="shared" si="9"/>
        <v>0.98295654675233379</v>
      </c>
      <c r="G20" s="77">
        <f t="shared" si="10"/>
        <v>7.1030207590425151E-2</v>
      </c>
      <c r="H20" s="83">
        <f t="shared" si="11"/>
        <v>7.6712328767123292E-2</v>
      </c>
      <c r="I20" s="81">
        <f t="shared" si="12"/>
        <v>5448.8926370737108</v>
      </c>
      <c r="J20" s="77">
        <v>0</v>
      </c>
      <c r="K20" s="81">
        <f t="shared" si="4"/>
        <v>0</v>
      </c>
      <c r="L20" s="81">
        <f t="shared" si="5"/>
        <v>5356.0246901621922</v>
      </c>
      <c r="M20" s="81">
        <f t="shared" si="6"/>
        <v>5146.2047267347316</v>
      </c>
    </row>
    <row r="21" spans="2:13" x14ac:dyDescent="0.3">
      <c r="B21" s="71">
        <f t="shared" si="2"/>
        <v>43419</v>
      </c>
      <c r="C21" s="71">
        <f t="shared" si="3"/>
        <v>43419</v>
      </c>
      <c r="D21" s="82">
        <f t="shared" si="7"/>
        <v>4</v>
      </c>
      <c r="E21" s="77">
        <f t="shared" si="8"/>
        <v>7.1403973913043484E-2</v>
      </c>
      <c r="F21" s="73">
        <f t="shared" si="9"/>
        <v>0.97668979993031801</v>
      </c>
      <c r="G21" s="77">
        <f t="shared" si="10"/>
        <v>7.5546903434865753E-2</v>
      </c>
      <c r="H21" s="83">
        <f t="shared" si="11"/>
        <v>8.4931506849315067E-2</v>
      </c>
      <c r="I21" s="81">
        <f t="shared" si="12"/>
        <v>6416.3123465228455</v>
      </c>
      <c r="J21" s="77">
        <v>0</v>
      </c>
      <c r="K21" s="81">
        <f t="shared" si="4"/>
        <v>0</v>
      </c>
      <c r="L21" s="81">
        <f t="shared" si="5"/>
        <v>6266.7468220158271</v>
      </c>
      <c r="M21" s="81">
        <f t="shared" si="6"/>
        <v>6035.9271592730156</v>
      </c>
    </row>
    <row r="22" spans="2:13" x14ac:dyDescent="0.3">
      <c r="B22" s="71">
        <f>MAX(EDATE(B23,-1),$C$6)</f>
        <v>43449</v>
      </c>
      <c r="C22" s="71">
        <f t="shared" si="3"/>
        <v>43452</v>
      </c>
      <c r="D22" s="82">
        <f t="shared" si="7"/>
        <v>5</v>
      </c>
      <c r="E22" s="77">
        <f t="shared" si="8"/>
        <v>7.3406715217391311E-2</v>
      </c>
      <c r="F22" s="73">
        <f t="shared" si="9"/>
        <v>0.96976964747269279</v>
      </c>
      <c r="G22" s="77">
        <f t="shared" si="10"/>
        <v>7.8927073468013503E-2</v>
      </c>
      <c r="H22" s="83">
        <f t="shared" si="11"/>
        <v>9.0410958904109592E-2</v>
      </c>
      <c r="I22" s="81">
        <f t="shared" si="12"/>
        <v>7135.8723957382081</v>
      </c>
      <c r="J22" s="77">
        <v>0</v>
      </c>
      <c r="K22" s="81">
        <f t="shared" si="4"/>
        <v>0</v>
      </c>
      <c r="L22" s="81">
        <f t="shared" si="5"/>
        <v>6920.1524576251613</v>
      </c>
      <c r="M22" s="81">
        <f t="shared" si="6"/>
        <v>6676.1821447586162</v>
      </c>
    </row>
    <row r="23" spans="2:13" x14ac:dyDescent="0.3">
      <c r="B23" s="71">
        <f>$C$7</f>
        <v>43480</v>
      </c>
      <c r="C23" s="71">
        <f t="shared" si="3"/>
        <v>43480</v>
      </c>
      <c r="D23" s="82">
        <f t="shared" si="7"/>
        <v>6</v>
      </c>
      <c r="E23" s="77">
        <f t="shared" si="8"/>
        <v>7.5106010869565226E-2</v>
      </c>
      <c r="F23" s="73">
        <f t="shared" si="9"/>
        <v>0.96371061858729823</v>
      </c>
      <c r="G23" s="77">
        <f t="shared" si="10"/>
        <v>8.1957973561269507E-2</v>
      </c>
      <c r="H23" s="83">
        <f t="shared" si="11"/>
        <v>7.6712328767123292E-2</v>
      </c>
      <c r="I23" s="81">
        <f t="shared" si="12"/>
        <v>6287.1870129193048</v>
      </c>
      <c r="J23" s="77">
        <f>$C$9</f>
        <v>7.2499999999999995E-2</v>
      </c>
      <c r="K23" s="81">
        <f>$C$8*J23/2</f>
        <v>36250</v>
      </c>
      <c r="L23" s="81">
        <f t="shared" si="5"/>
        <v>-28875.481038395068</v>
      </c>
      <c r="M23" s="81">
        <f t="shared" si="6"/>
        <v>-29081.192804001319</v>
      </c>
    </row>
    <row r="26" spans="2:13" ht="28.8" x14ac:dyDescent="0.3">
      <c r="B26" s="39" t="s">
        <v>20</v>
      </c>
      <c r="C26" s="30" t="s">
        <v>86</v>
      </c>
      <c r="D26" s="30" t="s">
        <v>87</v>
      </c>
    </row>
    <row r="27" spans="2:13" x14ac:dyDescent="0.3">
      <c r="B27" s="82">
        <f>D18</f>
        <v>1</v>
      </c>
      <c r="C27" s="77">
        <f>(G18+$K$7)*H18</f>
        <v>5.3055388085071148E-3</v>
      </c>
      <c r="D27" s="77">
        <f>J18/2</f>
        <v>0</v>
      </c>
    </row>
    <row r="28" spans="2:13" x14ac:dyDescent="0.3">
      <c r="B28" s="82">
        <f t="shared" ref="B28:B32" si="13">D19</f>
        <v>2</v>
      </c>
      <c r="C28" s="77">
        <f t="shared" ref="C28:C32" si="14">(G19+$K$7)*H19</f>
        <v>6.0168005748133446E-3</v>
      </c>
      <c r="D28" s="77">
        <f t="shared" ref="D28:D32" si="15">J19/2</f>
        <v>0</v>
      </c>
    </row>
    <row r="29" spans="2:13" x14ac:dyDescent="0.3">
      <c r="B29" s="82">
        <f t="shared" si="13"/>
        <v>3</v>
      </c>
      <c r="C29" s="77">
        <f t="shared" si="14"/>
        <v>5.2354346117716756E-3</v>
      </c>
      <c r="D29" s="77">
        <f t="shared" si="15"/>
        <v>0</v>
      </c>
    </row>
    <row r="30" spans="2:13" x14ac:dyDescent="0.3">
      <c r="B30" s="82">
        <f t="shared" si="13"/>
        <v>4</v>
      </c>
      <c r="C30" s="77">
        <f t="shared" si="14"/>
        <v>6.1799838185098771E-3</v>
      </c>
      <c r="D30" s="77">
        <f t="shared" si="15"/>
        <v>0</v>
      </c>
    </row>
    <row r="31" spans="2:13" x14ac:dyDescent="0.3">
      <c r="B31" s="82">
        <f t="shared" si="13"/>
        <v>5</v>
      </c>
      <c r="C31" s="77">
        <f t="shared" si="14"/>
        <v>6.8842968659179517E-3</v>
      </c>
      <c r="D31" s="77">
        <f t="shared" si="15"/>
        <v>0</v>
      </c>
    </row>
    <row r="32" spans="2:13" x14ac:dyDescent="0.3">
      <c r="B32" s="82">
        <f t="shared" si="13"/>
        <v>6</v>
      </c>
      <c r="C32" s="77">
        <f t="shared" si="14"/>
        <v>6.0737289876172697E-3</v>
      </c>
      <c r="D32" s="77">
        <f t="shared" si="15"/>
        <v>3.6249999999999998E-2</v>
      </c>
    </row>
    <row r="41" spans="1:13" ht="15" thickBot="1" x14ac:dyDescent="0.3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1:13" ht="15" thickBot="1" x14ac:dyDescent="0.35"/>
    <row r="43" spans="1:13" s="7" customFormat="1" ht="26.4" thickBot="1" x14ac:dyDescent="0.55000000000000004">
      <c r="B43" s="40" t="s">
        <v>32</v>
      </c>
      <c r="C43" s="36"/>
      <c r="D43" s="36"/>
      <c r="E43" s="36"/>
      <c r="F43" s="37"/>
    </row>
    <row r="46" spans="1:13" x14ac:dyDescent="0.3">
      <c r="B46" s="39" t="s">
        <v>7</v>
      </c>
      <c r="E46" s="39" t="s">
        <v>9</v>
      </c>
      <c r="F46" s="39" t="s">
        <v>13</v>
      </c>
      <c r="G46" s="39" t="s">
        <v>15</v>
      </c>
      <c r="H46" s="39" t="s">
        <v>18</v>
      </c>
      <c r="J46" s="39" t="s">
        <v>22</v>
      </c>
    </row>
    <row r="47" spans="1:13" x14ac:dyDescent="0.3">
      <c r="B47" s="53" t="s">
        <v>3</v>
      </c>
      <c r="C47" s="13">
        <v>43327</v>
      </c>
      <c r="E47" s="78" t="s">
        <v>17</v>
      </c>
      <c r="F47" s="71">
        <f>WORKDAY(C47,1,Hols)</f>
        <v>43328</v>
      </c>
      <c r="G47" s="79">
        <f>C51</f>
        <v>6.3099999999999989E-2</v>
      </c>
      <c r="H47" s="80">
        <f>(G48-G47)/(F48-F47)</f>
        <v>1.3489687500000021E-4</v>
      </c>
      <c r="J47" s="53" t="s">
        <v>37</v>
      </c>
      <c r="K47" s="14">
        <f>SUM(L62:L67)</f>
        <v>-12361.082844305172</v>
      </c>
    </row>
    <row r="48" spans="1:13" x14ac:dyDescent="0.3">
      <c r="B48" s="53" t="s">
        <v>42</v>
      </c>
      <c r="C48" s="13">
        <v>43455</v>
      </c>
      <c r="E48" s="78" t="s">
        <v>10</v>
      </c>
      <c r="F48" s="71">
        <f>WORKDAY(EDATE(C47,1)-1,1,Hols)</f>
        <v>43360</v>
      </c>
      <c r="G48" s="79">
        <f>C52</f>
        <v>6.7416699999999996E-2</v>
      </c>
      <c r="H48" s="80">
        <f>(G49-G48)/(F49-F48)</f>
        <v>4.5196610169491612E-5</v>
      </c>
      <c r="K48" s="4"/>
    </row>
    <row r="49" spans="2:13" x14ac:dyDescent="0.3">
      <c r="B49" s="53" t="s">
        <v>5</v>
      </c>
      <c r="C49" s="14">
        <v>1000000</v>
      </c>
      <c r="E49" s="78" t="s">
        <v>11</v>
      </c>
      <c r="F49" s="71">
        <f>WORKDAY(EDATE(C47,3)-1,1,Hols)</f>
        <v>43419</v>
      </c>
      <c r="G49" s="79">
        <f>C53</f>
        <v>7.0083300000000001E-2</v>
      </c>
      <c r="H49" s="80">
        <f>(G50-G49)/(F50-F49)</f>
        <v>6.2500000000000056E-5</v>
      </c>
      <c r="K49" s="6"/>
    </row>
    <row r="50" spans="2:13" x14ac:dyDescent="0.3">
      <c r="B50" s="53" t="s">
        <v>8</v>
      </c>
      <c r="C50" s="15">
        <v>0.08</v>
      </c>
      <c r="E50" s="78" t="s">
        <v>12</v>
      </c>
      <c r="F50" s="71">
        <f>WORKDAY(EDATE(C47,6)-1,1,Hols)</f>
        <v>43511</v>
      </c>
      <c r="G50" s="79">
        <f>C54</f>
        <v>7.5833300000000006E-2</v>
      </c>
      <c r="H50" s="53"/>
    </row>
    <row r="51" spans="2:13" x14ac:dyDescent="0.3">
      <c r="B51" s="53" t="s">
        <v>16</v>
      </c>
      <c r="C51" s="79">
        <f>INDEX('5b. Spot rates'!B2:B1000,MATCH($C$47,'5b. Spot rates'!$A$2:$A$1000,0))</f>
        <v>6.3099999999999989E-2</v>
      </c>
      <c r="E51" s="1"/>
    </row>
    <row r="52" spans="2:13" x14ac:dyDescent="0.3">
      <c r="B52" s="53" t="s">
        <v>0</v>
      </c>
      <c r="C52" s="79">
        <f>INDEX('5b. Spot rates'!C2:C1000,MATCH($C$47,'5b. Spot rates'!$A$2:$A$1000,0))</f>
        <v>6.7416699999999996E-2</v>
      </c>
      <c r="E52" s="1"/>
    </row>
    <row r="53" spans="2:13" x14ac:dyDescent="0.3">
      <c r="B53" s="53" t="s">
        <v>1</v>
      </c>
      <c r="C53" s="79">
        <f>INDEX('5b. Spot rates'!D2:D1000,MATCH($C$47,'5b. Spot rates'!$A$2:$A$1000,0))</f>
        <v>7.0083300000000001E-2</v>
      </c>
      <c r="E53" s="1"/>
    </row>
    <row r="54" spans="2:13" x14ac:dyDescent="0.3">
      <c r="B54" s="53" t="s">
        <v>2</v>
      </c>
      <c r="C54" s="79">
        <f>INDEX('5b. Spot rates'!E2:E1000,MATCH($C$47,'5b. Spot rates'!$A$2:$A$1000,0))</f>
        <v>7.5833300000000006E-2</v>
      </c>
      <c r="E54" s="1"/>
    </row>
    <row r="55" spans="2:13" x14ac:dyDescent="0.3">
      <c r="B55" s="53" t="s">
        <v>35</v>
      </c>
      <c r="C55" s="13">
        <v>43304</v>
      </c>
      <c r="E55" s="1"/>
    </row>
    <row r="56" spans="2:13" x14ac:dyDescent="0.3">
      <c r="B56" s="53" t="s">
        <v>36</v>
      </c>
      <c r="C56" s="79">
        <f>INDEX('5b. Spot rates'!C2:C1000,MATCH($C$55,'5b. Spot rates'!$A$2:$A$1000,0))</f>
        <v>6.7333299999999999E-2</v>
      </c>
      <c r="E56" s="1"/>
    </row>
    <row r="57" spans="2:13" x14ac:dyDescent="0.3">
      <c r="B57" s="53" t="s">
        <v>6</v>
      </c>
      <c r="C57" s="15">
        <v>5.3618319704371586E-3</v>
      </c>
    </row>
    <row r="58" spans="2:13" x14ac:dyDescent="0.3">
      <c r="C58" s="3"/>
    </row>
    <row r="59" spans="2:13" x14ac:dyDescent="0.3">
      <c r="C59" s="3"/>
    </row>
    <row r="60" spans="2:13" ht="28.8" x14ac:dyDescent="0.3">
      <c r="B60" s="39" t="s">
        <v>13</v>
      </c>
      <c r="C60" s="39" t="s">
        <v>14</v>
      </c>
      <c r="D60" s="30" t="s">
        <v>33</v>
      </c>
      <c r="E60" s="39" t="s">
        <v>15</v>
      </c>
      <c r="F60" s="30" t="s">
        <v>19</v>
      </c>
      <c r="G60" s="30" t="s">
        <v>21</v>
      </c>
      <c r="H60" s="30" t="s">
        <v>25</v>
      </c>
      <c r="I60" s="30" t="s">
        <v>23</v>
      </c>
      <c r="J60" s="30" t="s">
        <v>84</v>
      </c>
      <c r="K60" s="30" t="s">
        <v>24</v>
      </c>
      <c r="L60" s="30" t="s">
        <v>34</v>
      </c>
      <c r="M60" s="5"/>
    </row>
    <row r="61" spans="2:13" x14ac:dyDescent="0.3">
      <c r="B61" s="71">
        <f t="shared" ref="B61:B65" si="16">MAX(EDATE(B62,-1),$C$47)</f>
        <v>43327</v>
      </c>
      <c r="C61" s="71">
        <f t="shared" ref="C61:C67" si="17">IF(MONTH(WORKDAY(B61-1,1,Hols))=MONTH(B61),WORKDAY(B61-1,1,Hols),WORKDAY(B61,-1,Hols))</f>
        <v>43327</v>
      </c>
      <c r="D61" s="82">
        <v>0</v>
      </c>
      <c r="E61" s="53"/>
      <c r="F61" s="53"/>
      <c r="G61" s="53"/>
      <c r="H61" s="53"/>
      <c r="I61" s="53"/>
      <c r="J61" s="53"/>
      <c r="K61" s="53"/>
      <c r="L61" s="53"/>
    </row>
    <row r="62" spans="2:13" x14ac:dyDescent="0.3">
      <c r="B62" s="71">
        <f t="shared" si="16"/>
        <v>43327</v>
      </c>
      <c r="C62" s="71">
        <f t="shared" si="17"/>
        <v>43327</v>
      </c>
      <c r="D62" s="82">
        <f>IF(C62&gt;C61,D61+1,0)</f>
        <v>0</v>
      </c>
      <c r="E62" s="77">
        <f t="shared" ref="E62:E67" si="18">IF(D62=0,,VLOOKUP(C62,$F$47:$H$50,3,TRUE)*(C62-VLOOKUP(C62,$F$47:$H$50,1,TRUE))+VLOOKUP(C62,$F$47:$H$50,2,TRUE))</f>
        <v>0</v>
      </c>
      <c r="F62" s="73">
        <f>IF(D62=0,,1/(1+E62*(C62-$C$61)/365))</f>
        <v>0</v>
      </c>
      <c r="G62" s="77">
        <f>IF(D62=0,,IF(D62=1,$C$56+$C$57,(F61/F62-1)*365/(C62-C61)+$C$57))</f>
        <v>0</v>
      </c>
      <c r="H62" s="83">
        <f>(C62-C61)/365</f>
        <v>0</v>
      </c>
      <c r="I62" s="81">
        <f>$C$49*G62*H62</f>
        <v>0</v>
      </c>
      <c r="J62" s="77">
        <v>0</v>
      </c>
      <c r="K62" s="81">
        <f t="shared" ref="K62:K66" si="19">$C$49*J62/2</f>
        <v>0</v>
      </c>
      <c r="L62" s="81">
        <f t="shared" ref="L62:L67" si="20">(I62-K62)*F62</f>
        <v>0</v>
      </c>
      <c r="M62" s="6"/>
    </row>
    <row r="63" spans="2:13" x14ac:dyDescent="0.3">
      <c r="B63" s="71">
        <f t="shared" si="16"/>
        <v>43333</v>
      </c>
      <c r="C63" s="71">
        <f t="shared" si="17"/>
        <v>43333</v>
      </c>
      <c r="D63" s="82">
        <f t="shared" ref="D63:D67" si="21">IF(C63&gt;C62,D62+1,0)</f>
        <v>1</v>
      </c>
      <c r="E63" s="77">
        <f t="shared" si="18"/>
        <v>6.3774484374999996E-2</v>
      </c>
      <c r="F63" s="73">
        <f t="shared" ref="F63:F67" si="22">IF(D63=0,,1/(1+E63*(C63-$C$61)/365))</f>
        <v>0.99895275019355745</v>
      </c>
      <c r="G63" s="77">
        <f t="shared" ref="G63:G67" si="23">IF(D63=0,,IF(D63=1,$C$56+$C$57,(F62/F63-1)*365/(C63-C62)+$C$57))</f>
        <v>7.2695131970437157E-2</v>
      </c>
      <c r="H63" s="83">
        <f t="shared" ref="H63:H67" si="24">(C63-C62)/365</f>
        <v>1.643835616438356E-2</v>
      </c>
      <c r="I63" s="81">
        <f t="shared" ref="I63:I67" si="25">$C$49*G63*H63</f>
        <v>1194.9884707469121</v>
      </c>
      <c r="J63" s="77">
        <v>0</v>
      </c>
      <c r="K63" s="81">
        <f t="shared" si="19"/>
        <v>0</v>
      </c>
      <c r="L63" s="81">
        <f t="shared" si="20"/>
        <v>1193.7370193022214</v>
      </c>
      <c r="M63" s="6"/>
    </row>
    <row r="64" spans="2:13" x14ac:dyDescent="0.3">
      <c r="B64" s="71">
        <f t="shared" si="16"/>
        <v>43364</v>
      </c>
      <c r="C64" s="71">
        <f t="shared" si="17"/>
        <v>43364</v>
      </c>
      <c r="D64" s="82">
        <f t="shared" si="21"/>
        <v>2</v>
      </c>
      <c r="E64" s="77">
        <f t="shared" si="18"/>
        <v>6.7597486440677965E-2</v>
      </c>
      <c r="F64" s="73">
        <f t="shared" si="22"/>
        <v>0.99319428717172109</v>
      </c>
      <c r="G64" s="77">
        <f t="shared" si="23"/>
        <v>7.3627687942491943E-2</v>
      </c>
      <c r="H64" s="83">
        <f t="shared" si="24"/>
        <v>8.4931506849315067E-2</v>
      </c>
      <c r="I64" s="81">
        <f t="shared" si="25"/>
        <v>6253.3104827869874</v>
      </c>
      <c r="J64" s="77">
        <v>0</v>
      </c>
      <c r="K64" s="81">
        <f t="shared" si="19"/>
        <v>0</v>
      </c>
      <c r="L64" s="81">
        <f t="shared" si="20"/>
        <v>6210.7522474150728</v>
      </c>
      <c r="M64" s="6"/>
    </row>
    <row r="65" spans="1:13" x14ac:dyDescent="0.3">
      <c r="B65" s="71">
        <f t="shared" si="16"/>
        <v>43394</v>
      </c>
      <c r="C65" s="71">
        <f t="shared" si="17"/>
        <v>43395</v>
      </c>
      <c r="D65" s="82">
        <f t="shared" si="21"/>
        <v>3</v>
      </c>
      <c r="E65" s="77">
        <f t="shared" si="18"/>
        <v>6.8998581355932204E-2</v>
      </c>
      <c r="F65" s="73">
        <f t="shared" si="22"/>
        <v>0.98730861161043881</v>
      </c>
      <c r="G65" s="77">
        <f t="shared" si="23"/>
        <v>7.5551722351836381E-2</v>
      </c>
      <c r="H65" s="83">
        <f t="shared" si="24"/>
        <v>8.4931506849315067E-2</v>
      </c>
      <c r="I65" s="81">
        <f t="shared" si="25"/>
        <v>6416.7216244025412</v>
      </c>
      <c r="J65" s="77">
        <v>0</v>
      </c>
      <c r="K65" s="81">
        <f t="shared" si="19"/>
        <v>0</v>
      </c>
      <c r="L65" s="81">
        <f t="shared" si="20"/>
        <v>6335.284518079553</v>
      </c>
      <c r="M65" s="6"/>
    </row>
    <row r="66" spans="1:13" x14ac:dyDescent="0.3">
      <c r="B66" s="71">
        <f>MAX(EDATE(B67,-1),$C$47)</f>
        <v>43425</v>
      </c>
      <c r="C66" s="71">
        <f t="shared" si="17"/>
        <v>43425</v>
      </c>
      <c r="D66" s="82">
        <f t="shared" si="21"/>
        <v>4</v>
      </c>
      <c r="E66" s="77">
        <f t="shared" si="18"/>
        <v>7.0458300000000001E-2</v>
      </c>
      <c r="F66" s="73">
        <f t="shared" si="22"/>
        <v>0.98143365911228653</v>
      </c>
      <c r="G66" s="77">
        <f t="shared" si="23"/>
        <v>7.8192621972252588E-2</v>
      </c>
      <c r="H66" s="83">
        <f t="shared" si="24"/>
        <v>8.2191780821917804E-2</v>
      </c>
      <c r="I66" s="81">
        <f t="shared" si="25"/>
        <v>6426.7908470344591</v>
      </c>
      <c r="J66" s="77">
        <v>0</v>
      </c>
      <c r="K66" s="81">
        <f t="shared" si="19"/>
        <v>0</v>
      </c>
      <c r="L66" s="81">
        <f t="shared" si="20"/>
        <v>6307.4688573543808</v>
      </c>
      <c r="M66" s="6"/>
    </row>
    <row r="67" spans="1:13" x14ac:dyDescent="0.3">
      <c r="B67" s="71">
        <f>$C$48</f>
        <v>43455</v>
      </c>
      <c r="C67" s="71">
        <f t="shared" si="17"/>
        <v>43455</v>
      </c>
      <c r="D67" s="82">
        <f t="shared" si="21"/>
        <v>5</v>
      </c>
      <c r="E67" s="77">
        <f t="shared" si="18"/>
        <v>7.2333300000000003E-2</v>
      </c>
      <c r="F67" s="73">
        <f t="shared" si="22"/>
        <v>0.97526132771215723</v>
      </c>
      <c r="G67" s="77">
        <f t="shared" si="23"/>
        <v>8.23634484271666E-2</v>
      </c>
      <c r="H67" s="83">
        <f t="shared" si="24"/>
        <v>8.2191780821917804E-2</v>
      </c>
      <c r="I67" s="81">
        <f t="shared" si="25"/>
        <v>6769.5985008630078</v>
      </c>
      <c r="J67" s="77">
        <f>$C$50</f>
        <v>0.08</v>
      </c>
      <c r="K67" s="81">
        <f>$C$49*J67/2</f>
        <v>40000</v>
      </c>
      <c r="L67" s="81">
        <f t="shared" si="20"/>
        <v>-32408.325486456401</v>
      </c>
      <c r="M67" s="6"/>
    </row>
    <row r="69" spans="1:13" ht="15" thickBot="1" x14ac:dyDescent="0.3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</sheetData>
  <hyperlinks>
    <hyperlink ref="O14" location="'4. Swap calculations'!B68" display="Go to &quot;Value of zero-coupon swap&quot;" xr:uid="{2E0311F1-CCFD-4251-AA63-40D0992218B1}"/>
  </hyperlinks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R20"/>
  <sheetViews>
    <sheetView workbookViewId="0"/>
  </sheetViews>
  <sheetFormatPr defaultRowHeight="14.4" x14ac:dyDescent="0.3"/>
  <cols>
    <col min="1" max="1" width="10" bestFit="1" customWidth="1"/>
    <col min="2" max="2" width="5.6640625" customWidth="1"/>
    <col min="3" max="3" width="11.44140625" bestFit="1" customWidth="1"/>
    <col min="5" max="5" width="12.6640625" bestFit="1" customWidth="1"/>
    <col min="6" max="7" width="13.44140625" bestFit="1" customWidth="1"/>
    <col min="8" max="8" width="12" bestFit="1" customWidth="1"/>
    <col min="9" max="9" width="8.88671875" customWidth="1"/>
    <col min="10" max="10" width="11.5546875" customWidth="1"/>
    <col min="11" max="11" width="1.109375" customWidth="1"/>
    <col min="12" max="12" width="8.109375" bestFit="1" customWidth="1"/>
    <col min="13" max="13" width="7.6640625" bestFit="1" customWidth="1"/>
    <col min="14" max="14" width="8.109375" bestFit="1" customWidth="1"/>
    <col min="15" max="15" width="7.6640625" bestFit="1" customWidth="1"/>
    <col min="17" max="17" width="14.33203125" bestFit="1" customWidth="1"/>
    <col min="18" max="18" width="10.33203125" bestFit="1" customWidth="1"/>
  </cols>
  <sheetData>
    <row r="1" spans="1:18" ht="28.8" x14ac:dyDescent="0.3">
      <c r="A1" s="39" t="s">
        <v>74</v>
      </c>
      <c r="B1" s="39" t="s">
        <v>50</v>
      </c>
      <c r="C1" s="39" t="s">
        <v>8</v>
      </c>
      <c r="D1" s="39" t="s">
        <v>40</v>
      </c>
      <c r="E1" s="39" t="s">
        <v>4</v>
      </c>
      <c r="F1" s="39" t="s">
        <v>44</v>
      </c>
      <c r="G1" s="39" t="s">
        <v>45</v>
      </c>
      <c r="H1" s="31" t="s">
        <v>51</v>
      </c>
      <c r="I1" s="39" t="s">
        <v>52</v>
      </c>
      <c r="J1" s="41" t="s">
        <v>75</v>
      </c>
      <c r="K1" s="11"/>
      <c r="L1" s="42" t="s">
        <v>76</v>
      </c>
      <c r="M1" s="30" t="s">
        <v>77</v>
      </c>
      <c r="N1" s="42" t="s">
        <v>78</v>
      </c>
      <c r="O1" s="30" t="s">
        <v>79</v>
      </c>
    </row>
    <row r="2" spans="1:18" x14ac:dyDescent="0.3">
      <c r="A2" s="53" t="s">
        <v>43</v>
      </c>
      <c r="B2" s="53" t="s">
        <v>53</v>
      </c>
      <c r="C2" s="77">
        <v>0.08</v>
      </c>
      <c r="D2" s="53">
        <f>ROUNDUP((12*(YEAR(E2)-YEAR('1. Portfolio'!$D$7))+MONTH(E2)-MONTH('1. Portfolio'!$D$7))/12,0)</f>
        <v>1</v>
      </c>
      <c r="E2" s="71">
        <v>43455</v>
      </c>
      <c r="F2" s="71">
        <f>IF(MONTH('1. Portfolio'!$D$7)&lt;=L2,DATE(YEAR('1. Portfolio'!$D$7),L2,M2),DATE(YEAR('1. Portfolio'!$D$7)+1,L2,M2))</f>
        <v>43637</v>
      </c>
      <c r="G2" s="71">
        <f>IF(MONTH('1. Portfolio'!$D$7)&lt;=N2,DATE(YEAR('1. Portfolio'!$D$7),N2,O2),DATE(YEAR('1. Portfolio'!$D$7)+1,N2,O2))</f>
        <v>43455</v>
      </c>
      <c r="H2" s="71"/>
      <c r="I2" s="53" t="s">
        <v>54</v>
      </c>
      <c r="J2" s="84">
        <v>38210</v>
      </c>
      <c r="K2" s="9"/>
      <c r="L2" s="92">
        <v>6</v>
      </c>
      <c r="M2" s="82">
        <v>21</v>
      </c>
      <c r="N2" s="92">
        <v>12</v>
      </c>
      <c r="O2" s="82">
        <v>21</v>
      </c>
      <c r="R2" s="2"/>
    </row>
    <row r="3" spans="1:18" x14ac:dyDescent="0.3">
      <c r="A3" s="53" t="s">
        <v>55</v>
      </c>
      <c r="B3" s="53" t="s">
        <v>53</v>
      </c>
      <c r="C3" s="77">
        <v>7.2499999999999995E-2</v>
      </c>
      <c r="D3" s="53">
        <f>ROUNDUP((12*(YEAR(E3)-YEAR('1. Portfolio'!$D$7))+MONTH(E3)-MONTH('1. Portfolio'!$D$7))/12,0)</f>
        <v>2</v>
      </c>
      <c r="E3" s="71">
        <v>43845</v>
      </c>
      <c r="F3" s="71">
        <f>IF(MONTH('1. Portfolio'!$D$7)&lt;=L3,DATE(YEAR('1. Portfolio'!$D$7),L3,M3),DATE(YEAR('1. Portfolio'!$D$7)+1,L3,M3))</f>
        <v>43480</v>
      </c>
      <c r="G3" s="71">
        <f>IF(MONTH('1. Portfolio'!$D$7)&lt;=N3,DATE(YEAR('1. Portfolio'!$D$7),N3,O3),DATE(YEAR('1. Portfolio'!$D$7)+1,N3,O3))</f>
        <v>43661</v>
      </c>
      <c r="H3" s="71"/>
      <c r="I3" s="53" t="s">
        <v>54</v>
      </c>
      <c r="J3" s="84">
        <v>38523</v>
      </c>
      <c r="K3" s="9"/>
      <c r="L3" s="92">
        <v>1</v>
      </c>
      <c r="M3" s="82">
        <v>15</v>
      </c>
      <c r="N3" s="92">
        <v>7</v>
      </c>
      <c r="O3" s="82">
        <v>15</v>
      </c>
    </row>
    <row r="4" spans="1:18" x14ac:dyDescent="0.3">
      <c r="A4" s="53" t="s">
        <v>56</v>
      </c>
      <c r="B4" s="53" t="s">
        <v>53</v>
      </c>
      <c r="C4" s="77">
        <v>6.7500000000000004E-2</v>
      </c>
      <c r="D4" s="53">
        <f>ROUNDUP((12*(YEAR(E4)-YEAR('1. Portfolio'!$D$7))+MONTH(E4)-MONTH('1. Portfolio'!$D$7))/12,0)</f>
        <v>3</v>
      </c>
      <c r="E4" s="71">
        <v>44286</v>
      </c>
      <c r="F4" s="71">
        <f>IF(MONTH('1. Portfolio'!$D$7)&lt;=L4,DATE(YEAR('1. Portfolio'!$D$7),L4,M4),DATE(YEAR('1. Portfolio'!$D$7)+1,L4,M4))</f>
        <v>43555</v>
      </c>
      <c r="G4" s="71">
        <f>IF(MONTH('1. Portfolio'!$D$7)&lt;=N4,DATE(YEAR('1. Portfolio'!$D$7),N4,O4),DATE(YEAR('1. Portfolio'!$D$7)+1,N4,O4))</f>
        <v>43373</v>
      </c>
      <c r="H4" s="71"/>
      <c r="I4" s="53" t="s">
        <v>54</v>
      </c>
      <c r="J4" s="84">
        <v>38961</v>
      </c>
      <c r="K4" s="9"/>
      <c r="L4" s="92">
        <v>3</v>
      </c>
      <c r="M4" s="82">
        <v>31</v>
      </c>
      <c r="N4" s="92">
        <v>9</v>
      </c>
      <c r="O4" s="82">
        <v>30</v>
      </c>
    </row>
    <row r="5" spans="1:18" x14ac:dyDescent="0.3">
      <c r="A5" s="53" t="s">
        <v>57</v>
      </c>
      <c r="B5" s="53" t="s">
        <v>53</v>
      </c>
      <c r="C5" s="77">
        <v>7.7499999999999999E-2</v>
      </c>
      <c r="D5" s="53">
        <f>ROUNDUP((12*(YEAR(E5)-YEAR('1. Portfolio'!$D$7))+MONTH(E5)-MONTH('1. Portfolio'!$D$7))/12,0)</f>
        <v>5</v>
      </c>
      <c r="E5" s="71">
        <v>44985</v>
      </c>
      <c r="F5" s="71">
        <f>IF(MONTH('1. Portfolio'!$D$7)&lt;=L5,DATE(YEAR('1. Portfolio'!$D$7),L5,M5),DATE(YEAR('1. Portfolio'!$D$7)+1,L5,M5))</f>
        <v>43524</v>
      </c>
      <c r="G5" s="71">
        <f>IF(MONTH('1. Portfolio'!$D$7)&lt;=N5,DATE(YEAR('1. Portfolio'!$D$7),N5,O5),DATE(YEAR('1. Portfolio'!$D$7)+1,N5,O5))</f>
        <v>43343</v>
      </c>
      <c r="H5" s="71"/>
      <c r="I5" s="53" t="s">
        <v>54</v>
      </c>
      <c r="J5" s="84">
        <v>41082</v>
      </c>
      <c r="K5" s="9"/>
      <c r="L5" s="92">
        <v>2</v>
      </c>
      <c r="M5" s="82">
        <v>28</v>
      </c>
      <c r="N5" s="92">
        <v>8</v>
      </c>
      <c r="O5" s="82">
        <v>31</v>
      </c>
    </row>
    <row r="6" spans="1:18" x14ac:dyDescent="0.3">
      <c r="A6" s="53" t="s">
        <v>58</v>
      </c>
      <c r="B6" s="53" t="s">
        <v>53</v>
      </c>
      <c r="C6" s="77">
        <v>0.105</v>
      </c>
      <c r="D6" s="53">
        <f>ROUNDUP((12*(YEAR(E6)-YEAR('1. Portfolio'!$D$7))+MONTH(E6)-MONTH('1. Portfolio'!$D$7))/12,0)</f>
        <v>10</v>
      </c>
      <c r="E6" s="71">
        <v>46742</v>
      </c>
      <c r="F6" s="71">
        <f>IF(MONTH('1. Portfolio'!$D$7)&lt;=L6,DATE(YEAR('1. Portfolio'!$D$7),L6,M6),DATE(YEAR('1. Portfolio'!$D$7)+1,L6,M6))</f>
        <v>43637</v>
      </c>
      <c r="G6" s="71">
        <f>IF(MONTH('1. Portfolio'!$D$7)&lt;=N6,DATE(YEAR('1. Portfolio'!$D$7),N6,O6),DATE(YEAR('1. Portfolio'!$D$7)+1,N6,O6))</f>
        <v>43455</v>
      </c>
      <c r="H6" s="71"/>
      <c r="I6" s="53" t="s">
        <v>54</v>
      </c>
      <c r="J6" s="84">
        <v>35936</v>
      </c>
      <c r="K6" s="9"/>
      <c r="L6" s="92">
        <v>6</v>
      </c>
      <c r="M6" s="82">
        <v>21</v>
      </c>
      <c r="N6" s="92">
        <v>12</v>
      </c>
      <c r="O6" s="82">
        <v>21</v>
      </c>
    </row>
    <row r="7" spans="1:18" x14ac:dyDescent="0.3">
      <c r="A7" s="53" t="s">
        <v>59</v>
      </c>
      <c r="B7" s="53" t="s">
        <v>53</v>
      </c>
      <c r="C7" s="77">
        <v>0.08</v>
      </c>
      <c r="D7" s="53">
        <f>ROUNDUP((12*(YEAR(E7)-YEAR('1. Portfolio'!$D$7))+MONTH(E7)-MONTH('1. Portfolio'!$D$7))/12,0)</f>
        <v>12</v>
      </c>
      <c r="E7" s="71">
        <v>47514</v>
      </c>
      <c r="F7" s="71">
        <f>IF(MONTH('1. Portfolio'!$D$7)&lt;=L7,DATE(YEAR('1. Portfolio'!$D$7),L7,M7),DATE(YEAR('1. Portfolio'!$D$7)+1,L7,M7))</f>
        <v>43496</v>
      </c>
      <c r="G7" s="71">
        <f>IF(MONTH('1. Portfolio'!$D$7)&lt;=N7,DATE(YEAR('1. Portfolio'!$D$7),N7,O7),DATE(YEAR('1. Portfolio'!$D$7)+1,N7,O7))</f>
        <v>43677</v>
      </c>
      <c r="H7" s="71"/>
      <c r="I7" s="53" t="s">
        <v>54</v>
      </c>
      <c r="J7" s="84">
        <v>41551</v>
      </c>
      <c r="K7" s="9"/>
      <c r="L7" s="92">
        <v>1</v>
      </c>
      <c r="M7" s="82">
        <v>31</v>
      </c>
      <c r="N7" s="92">
        <v>7</v>
      </c>
      <c r="O7" s="82">
        <v>31</v>
      </c>
    </row>
    <row r="8" spans="1:18" x14ac:dyDescent="0.3">
      <c r="A8" s="53" t="s">
        <v>60</v>
      </c>
      <c r="B8" s="53" t="s">
        <v>53</v>
      </c>
      <c r="C8" s="77">
        <v>7.0000000000000007E-2</v>
      </c>
      <c r="D8" s="53">
        <f>ROUNDUP((12*(YEAR(E8)-YEAR('1. Portfolio'!$D$7))+MONTH(E8)-MONTH('1. Portfolio'!$D$7))/12,0)</f>
        <v>13</v>
      </c>
      <c r="E8" s="71">
        <v>47907</v>
      </c>
      <c r="F8" s="71">
        <f>IF(MONTH('1. Portfolio'!$D$7)&lt;=L8,DATE(YEAR('1. Portfolio'!$D$7),L8,M8),DATE(YEAR('1. Portfolio'!$D$7)+1,L8,M8))</f>
        <v>43524</v>
      </c>
      <c r="G8" s="71">
        <f>IF(MONTH('1. Portfolio'!$D$7)&lt;=N8,DATE(YEAR('1. Portfolio'!$D$7),N8,O8),DATE(YEAR('1. Portfolio'!$D$7)+1,N8,O8))</f>
        <v>43343</v>
      </c>
      <c r="H8" s="71"/>
      <c r="I8" s="53" t="s">
        <v>54</v>
      </c>
      <c r="J8" s="84">
        <v>40326</v>
      </c>
      <c r="K8" s="9"/>
      <c r="L8" s="92">
        <v>2</v>
      </c>
      <c r="M8" s="82">
        <v>28</v>
      </c>
      <c r="N8" s="92">
        <v>8</v>
      </c>
      <c r="O8" s="82">
        <v>31</v>
      </c>
    </row>
    <row r="9" spans="1:18" x14ac:dyDescent="0.3">
      <c r="A9" s="53" t="s">
        <v>61</v>
      </c>
      <c r="B9" s="53" t="s">
        <v>53</v>
      </c>
      <c r="C9" s="77">
        <v>8.2500000000000004E-2</v>
      </c>
      <c r="D9" s="53">
        <f>ROUNDUP((12*(YEAR(E9)-YEAR('1. Portfolio'!$D$7))+MONTH(E9)-MONTH('1. Portfolio'!$D$7))/12,0)</f>
        <v>14</v>
      </c>
      <c r="E9" s="71">
        <v>48304</v>
      </c>
      <c r="F9" s="71">
        <f>IF(MONTH('1. Portfolio'!$D$7)&lt;=L9,DATE(YEAR('1. Portfolio'!$D$7),L9,M9),DATE(YEAR('1. Portfolio'!$D$7)+1,L9,M9))</f>
        <v>43555</v>
      </c>
      <c r="G9" s="71">
        <f>IF(MONTH('1. Portfolio'!$D$7)&lt;=N9,DATE(YEAR('1. Portfolio'!$D$7),N9,O9),DATE(YEAR('1. Portfolio'!$D$7)+1,N9,O9))</f>
        <v>43373</v>
      </c>
      <c r="H9" s="71"/>
      <c r="I9" s="53" t="s">
        <v>54</v>
      </c>
      <c r="J9" s="84">
        <v>41803</v>
      </c>
      <c r="K9" s="9"/>
      <c r="L9" s="92">
        <v>3</v>
      </c>
      <c r="M9" s="82">
        <v>31</v>
      </c>
      <c r="N9" s="92">
        <v>9</v>
      </c>
      <c r="O9" s="82">
        <v>30</v>
      </c>
    </row>
    <row r="10" spans="1:18" x14ac:dyDescent="0.3">
      <c r="A10" s="53" t="s">
        <v>62</v>
      </c>
      <c r="B10" s="53" t="s">
        <v>53</v>
      </c>
      <c r="C10" s="77">
        <v>8.8749999999999996E-2</v>
      </c>
      <c r="D10" s="53">
        <f>ROUNDUP((12*(YEAR(E10)-YEAR('1. Portfolio'!$D$7))+MONTH(E10)-MONTH('1. Portfolio'!$D$7))/12,0)</f>
        <v>17</v>
      </c>
      <c r="E10" s="71">
        <v>49368</v>
      </c>
      <c r="F10" s="71">
        <f>IF(MONTH('1. Portfolio'!$D$7)&lt;=L10,DATE(YEAR('1. Portfolio'!$D$7),L10,M10),DATE(YEAR('1. Portfolio'!$D$7)+1,L10,M10))</f>
        <v>43524</v>
      </c>
      <c r="G10" s="71">
        <f>IF(MONTH('1. Portfolio'!$D$7)&lt;=N10,DATE(YEAR('1. Portfolio'!$D$7),N10,O10),DATE(YEAR('1. Portfolio'!$D$7)+1,N10,O10))</f>
        <v>43343</v>
      </c>
      <c r="H10" s="71"/>
      <c r="I10" s="53" t="s">
        <v>54</v>
      </c>
      <c r="J10" s="84">
        <v>42202</v>
      </c>
      <c r="K10" s="9"/>
      <c r="L10" s="92">
        <v>2</v>
      </c>
      <c r="M10" s="82">
        <v>28</v>
      </c>
      <c r="N10" s="92">
        <v>8</v>
      </c>
      <c r="O10" s="82">
        <v>31</v>
      </c>
    </row>
    <row r="11" spans="1:18" x14ac:dyDescent="0.3">
      <c r="A11" s="53" t="s">
        <v>63</v>
      </c>
      <c r="B11" s="53" t="s">
        <v>53</v>
      </c>
      <c r="C11" s="77">
        <v>6.25E-2</v>
      </c>
      <c r="D11" s="53">
        <f>ROUNDUP((12*(YEAR(E11)-YEAR('1. Portfolio'!$D$7))+MONTH(E11)-MONTH('1. Portfolio'!$D$7))/12,0)</f>
        <v>18</v>
      </c>
      <c r="E11" s="71">
        <v>49765</v>
      </c>
      <c r="F11" s="71">
        <f>IF(MONTH('1. Portfolio'!$D$7)&lt;=L11,DATE(YEAR('1. Portfolio'!$D$7),L11,M11),DATE(YEAR('1. Portfolio'!$D$7)+1,L11,M11))</f>
        <v>43555</v>
      </c>
      <c r="G11" s="71">
        <f>IF(MONTH('1. Portfolio'!$D$7)&lt;=N11,DATE(YEAR('1. Portfolio'!$D$7),N11,O11),DATE(YEAR('1. Portfolio'!$D$7)+1,N11,O11))</f>
        <v>43373</v>
      </c>
      <c r="H11" s="71"/>
      <c r="I11" s="53" t="s">
        <v>54</v>
      </c>
      <c r="J11" s="84">
        <v>38919</v>
      </c>
      <c r="K11" s="9"/>
      <c r="L11" s="92">
        <v>3</v>
      </c>
      <c r="M11" s="82">
        <v>31</v>
      </c>
      <c r="N11" s="92">
        <v>9</v>
      </c>
      <c r="O11" s="82">
        <v>30</v>
      </c>
    </row>
    <row r="12" spans="1:18" x14ac:dyDescent="0.3">
      <c r="A12" s="53" t="s">
        <v>64</v>
      </c>
      <c r="B12" s="53" t="s">
        <v>53</v>
      </c>
      <c r="C12" s="77">
        <v>8.5000000000000006E-2</v>
      </c>
      <c r="D12" s="53">
        <f>ROUNDUP((12*(YEAR(E12)-YEAR('1. Portfolio'!$D$7))+MONTH(E12)-MONTH('1. Portfolio'!$D$7))/12,0)</f>
        <v>19</v>
      </c>
      <c r="E12" s="71">
        <v>50071</v>
      </c>
      <c r="F12" s="71">
        <f>IF(MONTH('1. Portfolio'!$D$7)&lt;=L12,DATE(YEAR('1. Portfolio'!$D$7),L12,M12),DATE(YEAR('1. Portfolio'!$D$7)+1,L12,M12))</f>
        <v>43496</v>
      </c>
      <c r="G12" s="71">
        <f>IF(MONTH('1. Portfolio'!$D$7)&lt;=N12,DATE(YEAR('1. Portfolio'!$D$7),N12,O12),DATE(YEAR('1. Portfolio'!$D$7)+1,N12,O12))</f>
        <v>43677</v>
      </c>
      <c r="H12" s="71"/>
      <c r="I12" s="53" t="s">
        <v>54</v>
      </c>
      <c r="J12" s="84">
        <v>41474</v>
      </c>
      <c r="K12" s="9"/>
      <c r="L12" s="92">
        <v>1</v>
      </c>
      <c r="M12" s="82">
        <v>31</v>
      </c>
      <c r="N12" s="92">
        <v>7</v>
      </c>
      <c r="O12" s="82">
        <v>31</v>
      </c>
    </row>
    <row r="13" spans="1:18" x14ac:dyDescent="0.3">
      <c r="A13" s="53" t="s">
        <v>65</v>
      </c>
      <c r="B13" s="53" t="s">
        <v>53</v>
      </c>
      <c r="C13" s="77">
        <v>0.09</v>
      </c>
      <c r="D13" s="53">
        <f>ROUNDUP((12*(YEAR(E13)-YEAR('1. Portfolio'!$D$7))+MONTH(E13)-MONTH('1. Portfolio'!$D$7))/12,0)</f>
        <v>22</v>
      </c>
      <c r="E13" s="71">
        <v>51166</v>
      </c>
      <c r="F13" s="71">
        <f>IF(MONTH('1. Portfolio'!$D$7)&lt;=L13,DATE(YEAR('1. Portfolio'!$D$7),L13,M13),DATE(YEAR('1. Portfolio'!$D$7)+1,L13,M13))</f>
        <v>43496</v>
      </c>
      <c r="G13" s="71">
        <f>IF(MONTH('1. Portfolio'!$D$7)&lt;=N13,DATE(YEAR('1. Portfolio'!$D$7),N13,O13),DATE(YEAR('1. Portfolio'!$D$7)+1,N13,O13))</f>
        <v>43677</v>
      </c>
      <c r="H13" s="71"/>
      <c r="I13" s="53" t="s">
        <v>54</v>
      </c>
      <c r="J13" s="84">
        <v>42258</v>
      </c>
      <c r="K13" s="9"/>
      <c r="L13" s="92">
        <v>1</v>
      </c>
      <c r="M13" s="82">
        <v>31</v>
      </c>
      <c r="N13" s="92">
        <v>7</v>
      </c>
      <c r="O13" s="82">
        <v>31</v>
      </c>
    </row>
    <row r="14" spans="1:18" x14ac:dyDescent="0.3">
      <c r="A14" s="53" t="s">
        <v>66</v>
      </c>
      <c r="B14" s="53" t="s">
        <v>53</v>
      </c>
      <c r="C14" s="77">
        <v>6.5000000000000002E-2</v>
      </c>
      <c r="D14" s="53">
        <f>ROUNDUP((12*(YEAR(E14)-YEAR('1. Portfolio'!$D$7))+MONTH(E14)-MONTH('1. Portfolio'!$D$7))/12,0)</f>
        <v>23</v>
      </c>
      <c r="E14" s="71">
        <v>51560</v>
      </c>
      <c r="F14" s="71">
        <f>IF(MONTH('1. Portfolio'!$D$7)&lt;=L14,DATE(YEAR('1. Portfolio'!$D$7),L14,M14),DATE(YEAR('1. Portfolio'!$D$7)+1,L14,M14))</f>
        <v>43524</v>
      </c>
      <c r="G14" s="71">
        <f>IF(MONTH('1. Portfolio'!$D$7)&lt;=N14,DATE(YEAR('1. Portfolio'!$D$7),N14,O14),DATE(YEAR('1. Portfolio'!$D$7)+1,N14,O14))</f>
        <v>43343</v>
      </c>
      <c r="H14" s="71"/>
      <c r="I14" s="53" t="s">
        <v>54</v>
      </c>
      <c r="J14" s="84">
        <v>40333</v>
      </c>
      <c r="K14" s="9"/>
      <c r="L14" s="92">
        <v>2</v>
      </c>
      <c r="M14" s="82">
        <v>28</v>
      </c>
      <c r="N14" s="92">
        <v>8</v>
      </c>
      <c r="O14" s="82">
        <v>31</v>
      </c>
    </row>
    <row r="15" spans="1:18" x14ac:dyDescent="0.3">
      <c r="A15" s="53" t="s">
        <v>67</v>
      </c>
      <c r="B15" s="53" t="s">
        <v>53</v>
      </c>
      <c r="C15" s="77">
        <v>8.7499999999999994E-2</v>
      </c>
      <c r="D15" s="53">
        <f>ROUNDUP((12*(YEAR(E15)-YEAR('1. Portfolio'!$D$7))+MONTH(E15)-MONTH('1. Portfolio'!$D$7))/12,0)</f>
        <v>27</v>
      </c>
      <c r="E15" s="71">
        <v>52993</v>
      </c>
      <c r="F15" s="71">
        <f>IF(MONTH('1. Portfolio'!$D$7)&lt;=L15,DATE(YEAR('1. Portfolio'!$D$7),L15,M15),DATE(YEAR('1. Portfolio'!$D$7)+1,L15,M15))</f>
        <v>43496</v>
      </c>
      <c r="G15" s="71">
        <f>IF(MONTH('1. Portfolio'!$D$7)&lt;=N15,DATE(YEAR('1. Portfolio'!$D$7),N15,O15),DATE(YEAR('1. Portfolio'!$D$7)+1,N15,O15))</f>
        <v>43677</v>
      </c>
      <c r="H15" s="71"/>
      <c r="I15" s="53" t="s">
        <v>54</v>
      </c>
      <c r="J15" s="84">
        <v>41838</v>
      </c>
      <c r="K15" s="9"/>
      <c r="L15" s="92">
        <v>1</v>
      </c>
      <c r="M15" s="82">
        <v>31</v>
      </c>
      <c r="N15" s="92">
        <v>7</v>
      </c>
      <c r="O15" s="82">
        <v>31</v>
      </c>
    </row>
    <row r="16" spans="1:18" ht="15" thickBot="1" x14ac:dyDescent="0.35">
      <c r="A16" s="67" t="s">
        <v>68</v>
      </c>
      <c r="B16" s="67" t="s">
        <v>53</v>
      </c>
      <c r="C16" s="85">
        <v>8.7499999999999994E-2</v>
      </c>
      <c r="D16" s="67">
        <f>ROUNDUP((12*(YEAR(E16)-YEAR('1. Portfolio'!$D$7))+MONTH(E16)-MONTH('1. Portfolio'!$D$7))/12,0)</f>
        <v>31</v>
      </c>
      <c r="E16" s="86">
        <v>54482</v>
      </c>
      <c r="F16" s="86">
        <f>IF(MONTH('1. Portfolio'!$D$7)&lt;=L16,DATE(YEAR('1. Portfolio'!$D$7),L16,M16),DATE(YEAR('1. Portfolio'!$D$7)+1,L16,M16))</f>
        <v>43524</v>
      </c>
      <c r="G16" s="86">
        <f>IF(MONTH('1. Portfolio'!$D$7)&lt;=N16,DATE(YEAR('1. Portfolio'!$D$7),N16,O16),DATE(YEAR('1. Portfolio'!$D$7)+1,N16,O16))</f>
        <v>43343</v>
      </c>
      <c r="H16" s="86"/>
      <c r="I16" s="67" t="s">
        <v>54</v>
      </c>
      <c r="J16" s="87">
        <v>41089</v>
      </c>
      <c r="K16" s="9"/>
      <c r="L16" s="93">
        <v>2</v>
      </c>
      <c r="M16" s="94">
        <v>28</v>
      </c>
      <c r="N16" s="93">
        <v>8</v>
      </c>
      <c r="O16" s="94">
        <v>31</v>
      </c>
    </row>
    <row r="17" spans="1:15" x14ac:dyDescent="0.3">
      <c r="A17" s="88" t="s">
        <v>69</v>
      </c>
      <c r="B17" s="88" t="s">
        <v>70</v>
      </c>
      <c r="C17" s="89">
        <v>2.75E-2</v>
      </c>
      <c r="D17" s="88">
        <f>ROUNDUP((12*(YEAR(E17)-YEAR('1. Portfolio'!$D$7))+MONTH(E17)-MONTH('1. Portfolio'!$D$7))/12,0)</f>
        <v>4</v>
      </c>
      <c r="E17" s="90">
        <v>44592</v>
      </c>
      <c r="F17" s="90">
        <f>IF(MONTH('1. Portfolio'!$D$7)&lt;=L17,DATE(YEAR('1. Portfolio'!$D$7),L17,M17),DATE(YEAR('1. Portfolio'!$D$7)+1,L17,M17))</f>
        <v>43496</v>
      </c>
      <c r="G17" s="90">
        <f>IF(MONTH('1. Portfolio'!$D$7)&lt;=N17,DATE(YEAR('1. Portfolio'!$D$7),N17,O17),DATE(YEAR('1. Portfolio'!$D$7)+1,N17,O17))</f>
        <v>43677</v>
      </c>
      <c r="H17" s="91">
        <v>87.355958958168898</v>
      </c>
      <c r="I17" s="91">
        <v>70.0528941124048</v>
      </c>
      <c r="J17" s="90">
        <v>40346</v>
      </c>
      <c r="K17" s="9"/>
      <c r="L17" s="95">
        <v>1</v>
      </c>
      <c r="M17" s="95">
        <v>31</v>
      </c>
      <c r="N17" s="96">
        <v>7</v>
      </c>
      <c r="O17" s="95">
        <v>31</v>
      </c>
    </row>
    <row r="18" spans="1:15" x14ac:dyDescent="0.3">
      <c r="A18" s="53" t="s">
        <v>71</v>
      </c>
      <c r="B18" s="53" t="s">
        <v>70</v>
      </c>
      <c r="C18" s="77">
        <v>5.5E-2</v>
      </c>
      <c r="D18" s="53">
        <f>ROUNDUP((12*(YEAR(E18)-YEAR('1. Portfolio'!$D$7))+MONTH(E18)-MONTH('1. Portfolio'!$D$7))/12,0)</f>
        <v>6</v>
      </c>
      <c r="E18" s="71">
        <v>45267</v>
      </c>
      <c r="F18" s="71">
        <f>IF(MONTH('1. Portfolio'!$D$7)&lt;=L18,DATE(YEAR('1. Portfolio'!$D$7),L18,M18),DATE(YEAR('1. Portfolio'!$D$7)+1,L18,M18))</f>
        <v>43623</v>
      </c>
      <c r="G18" s="71">
        <f>IF(MONTH('1. Portfolio'!$D$7)&lt;=N18,DATE(YEAR('1. Portfolio'!$D$7),N18,O18),DATE(YEAR('1. Portfolio'!$D$7)+1,N18,O18))</f>
        <v>43441</v>
      </c>
      <c r="H18" s="78">
        <v>51.342070422893798</v>
      </c>
      <c r="I18" s="78">
        <v>41.1724702669556</v>
      </c>
      <c r="J18" s="71">
        <v>37041</v>
      </c>
      <c r="K18" s="9"/>
      <c r="L18" s="82">
        <v>6</v>
      </c>
      <c r="M18" s="82">
        <v>7</v>
      </c>
      <c r="N18" s="92">
        <v>12</v>
      </c>
      <c r="O18" s="82">
        <v>7</v>
      </c>
    </row>
    <row r="19" spans="1:15" x14ac:dyDescent="0.3">
      <c r="A19" s="53" t="s">
        <v>72</v>
      </c>
      <c r="B19" s="53" t="s">
        <v>70</v>
      </c>
      <c r="C19" s="77">
        <v>2.6000000000000002E-2</v>
      </c>
      <c r="D19" s="53">
        <f>ROUNDUP((12*(YEAR(E19)-YEAR('1. Portfolio'!$D$7))+MONTH(E19)-MONTH('1. Portfolio'!$D$7))/12,0)</f>
        <v>10</v>
      </c>
      <c r="E19" s="71">
        <v>46843</v>
      </c>
      <c r="F19" s="71">
        <f>IF(MONTH('1. Portfolio'!$D$7)&lt;=L19,DATE(YEAR('1. Portfolio'!$D$7),L19,M19),DATE(YEAR('1. Portfolio'!$D$7)+1,L19,M19))</f>
        <v>43555</v>
      </c>
      <c r="G19" s="71">
        <f>IF(MONTH('1. Portfolio'!$D$7)&lt;=N19,DATE(YEAR('1. Portfolio'!$D$7),N19,O19),DATE(YEAR('1. Portfolio'!$D$7)+1,N19,O19))</f>
        <v>43373</v>
      </c>
      <c r="H19" s="78">
        <v>70.461720599842096</v>
      </c>
      <c r="I19" s="78">
        <v>56.504988452158898</v>
      </c>
      <c r="J19" s="71">
        <v>39352</v>
      </c>
      <c r="K19" s="9"/>
      <c r="L19" s="82">
        <v>3</v>
      </c>
      <c r="M19" s="82">
        <v>31</v>
      </c>
      <c r="N19" s="92">
        <v>9</v>
      </c>
      <c r="O19" s="82">
        <v>30</v>
      </c>
    </row>
    <row r="20" spans="1:15" x14ac:dyDescent="0.3">
      <c r="A20" s="53" t="s">
        <v>73</v>
      </c>
      <c r="B20" s="53" t="s">
        <v>70</v>
      </c>
      <c r="C20" s="77">
        <v>3.4500000000000003E-2</v>
      </c>
      <c r="D20" s="53">
        <f>ROUNDUP((12*(YEAR(E20)-YEAR('1. Portfolio'!$D$7))+MONTH(E20)-MONTH('1. Portfolio'!$D$7))/12,0)</f>
        <v>16</v>
      </c>
      <c r="E20" s="71">
        <v>48920</v>
      </c>
      <c r="F20" s="71">
        <f>IF(MONTH('1. Portfolio'!$D$7)&lt;=L20,DATE(YEAR('1. Portfolio'!$D$7),L20,M20),DATE(YEAR('1. Portfolio'!$D$7)+1,L20,M20))</f>
        <v>43623</v>
      </c>
      <c r="G20" s="71">
        <f>IF(MONTH('1. Portfolio'!$D$7)&lt;=N20,DATE(YEAR('1. Portfolio'!$D$7),N20,O20),DATE(YEAR('1. Portfolio'!$D$7)+1,N20,O20))</f>
        <v>43441</v>
      </c>
      <c r="H20" s="78">
        <v>60.633449601548001</v>
      </c>
      <c r="I20" s="78">
        <v>48.623455975579702</v>
      </c>
      <c r="J20" s="71">
        <v>37853</v>
      </c>
      <c r="K20" s="10"/>
      <c r="L20" s="82">
        <v>6</v>
      </c>
      <c r="M20" s="82">
        <v>7</v>
      </c>
      <c r="N20" s="92">
        <v>12</v>
      </c>
      <c r="O20" s="82">
        <v>7</v>
      </c>
    </row>
  </sheetData>
  <pageMargins left="0.7" right="0.7" top="0.75" bottom="0.75" header="0.3" footer="0.3"/>
  <ignoredErrors>
    <ignoredError sqref="A2:A20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39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" customWidth="1"/>
    <col min="2" max="5" width="15" customWidth="1"/>
  </cols>
  <sheetData>
    <row r="1" spans="1:5" x14ac:dyDescent="0.3">
      <c r="A1" s="39" t="s">
        <v>13</v>
      </c>
      <c r="B1" s="39" t="s">
        <v>16</v>
      </c>
      <c r="C1" s="39" t="s">
        <v>47</v>
      </c>
      <c r="D1" s="39" t="s">
        <v>48</v>
      </c>
      <c r="E1" s="39" t="s">
        <v>49</v>
      </c>
    </row>
    <row r="2" spans="1:5" x14ac:dyDescent="0.3">
      <c r="A2" s="97">
        <v>42948</v>
      </c>
      <c r="B2" s="77">
        <v>6.5599999999999992E-2</v>
      </c>
      <c r="C2" s="77">
        <v>6.8250000000000005E-2</v>
      </c>
      <c r="D2" s="77">
        <v>7.0750000000000007E-2</v>
      </c>
      <c r="E2" s="77">
        <v>7.4916700000000003E-2</v>
      </c>
    </row>
    <row r="3" spans="1:5" x14ac:dyDescent="0.3">
      <c r="A3" s="97">
        <v>42949</v>
      </c>
      <c r="B3" s="77">
        <v>6.5599999999999992E-2</v>
      </c>
      <c r="C3" s="77">
        <v>6.8250000000000005E-2</v>
      </c>
      <c r="D3" s="77">
        <v>7.0666699999999999E-2</v>
      </c>
      <c r="E3" s="77">
        <v>7.4749999999999997E-2</v>
      </c>
    </row>
    <row r="4" spans="1:5" x14ac:dyDescent="0.3">
      <c r="A4" s="97">
        <v>42950</v>
      </c>
      <c r="B4" s="77">
        <v>6.5599999999999992E-2</v>
      </c>
      <c r="C4" s="77">
        <v>6.8250000000000005E-2</v>
      </c>
      <c r="D4" s="77">
        <v>7.0666699999999999E-2</v>
      </c>
      <c r="E4" s="77">
        <v>7.4749999999999997E-2</v>
      </c>
    </row>
    <row r="5" spans="1:5" x14ac:dyDescent="0.3">
      <c r="A5" s="97">
        <v>42951</v>
      </c>
      <c r="B5" s="77">
        <v>6.5599999999999992E-2</v>
      </c>
      <c r="C5" s="77">
        <v>6.8250000000000005E-2</v>
      </c>
      <c r="D5" s="77">
        <v>7.0666699999999999E-2</v>
      </c>
      <c r="E5" s="77">
        <v>7.4749999999999997E-2</v>
      </c>
    </row>
    <row r="6" spans="1:5" x14ac:dyDescent="0.3">
      <c r="A6" s="97">
        <v>42952</v>
      </c>
      <c r="B6" s="77">
        <v>0</v>
      </c>
      <c r="C6" s="77">
        <v>0</v>
      </c>
      <c r="D6" s="77">
        <v>0</v>
      </c>
      <c r="E6" s="77">
        <v>0</v>
      </c>
    </row>
    <row r="7" spans="1:5" x14ac:dyDescent="0.3">
      <c r="A7" s="97">
        <v>42953</v>
      </c>
      <c r="B7" s="77">
        <v>0</v>
      </c>
      <c r="C7" s="77">
        <v>0</v>
      </c>
      <c r="D7" s="77">
        <v>0</v>
      </c>
      <c r="E7" s="77">
        <v>0</v>
      </c>
    </row>
    <row r="8" spans="1:5" x14ac:dyDescent="0.3">
      <c r="A8" s="97">
        <v>42954</v>
      </c>
      <c r="B8" s="77">
        <v>6.5500000000000003E-2</v>
      </c>
      <c r="C8" s="77">
        <v>6.8250000000000005E-2</v>
      </c>
      <c r="D8" s="77">
        <v>7.0666699999999999E-2</v>
      </c>
      <c r="E8" s="77">
        <v>7.4666700000000003E-2</v>
      </c>
    </row>
    <row r="9" spans="1:5" x14ac:dyDescent="0.3">
      <c r="A9" s="97">
        <v>42955</v>
      </c>
      <c r="B9" s="77">
        <v>6.5500000000000003E-2</v>
      </c>
      <c r="C9" s="77">
        <v>6.8250000000000005E-2</v>
      </c>
      <c r="D9" s="77">
        <v>7.0583300000000002E-2</v>
      </c>
      <c r="E9" s="77">
        <v>7.4666700000000003E-2</v>
      </c>
    </row>
    <row r="10" spans="1:5" x14ac:dyDescent="0.3">
      <c r="A10" s="97">
        <v>42956</v>
      </c>
      <c r="B10" s="77">
        <v>0</v>
      </c>
      <c r="C10" s="77">
        <v>0</v>
      </c>
      <c r="D10" s="77">
        <v>0</v>
      </c>
      <c r="E10" s="77">
        <v>0</v>
      </c>
    </row>
    <row r="11" spans="1:5" x14ac:dyDescent="0.3">
      <c r="A11" s="97">
        <v>42957</v>
      </c>
      <c r="B11" s="77">
        <v>6.5500000000000003E-2</v>
      </c>
      <c r="C11" s="77">
        <v>6.8250000000000005E-2</v>
      </c>
      <c r="D11" s="77">
        <v>7.0583300000000002E-2</v>
      </c>
      <c r="E11" s="77">
        <v>7.4666700000000003E-2</v>
      </c>
    </row>
    <row r="12" spans="1:5" x14ac:dyDescent="0.3">
      <c r="A12" s="97">
        <v>42958</v>
      </c>
      <c r="B12" s="77">
        <v>6.5500000000000003E-2</v>
      </c>
      <c r="C12" s="77">
        <v>6.8250000000000005E-2</v>
      </c>
      <c r="D12" s="77">
        <v>7.0583300000000002E-2</v>
      </c>
      <c r="E12" s="77">
        <v>7.4666700000000003E-2</v>
      </c>
    </row>
    <row r="13" spans="1:5" x14ac:dyDescent="0.3">
      <c r="A13" s="97">
        <v>42959</v>
      </c>
      <c r="B13" s="77">
        <v>0</v>
      </c>
      <c r="C13" s="77">
        <v>0</v>
      </c>
      <c r="D13" s="77">
        <v>0</v>
      </c>
      <c r="E13" s="77">
        <v>0</v>
      </c>
    </row>
    <row r="14" spans="1:5" x14ac:dyDescent="0.3">
      <c r="A14" s="97">
        <v>42960</v>
      </c>
      <c r="B14" s="77">
        <v>0</v>
      </c>
      <c r="C14" s="77">
        <v>0</v>
      </c>
      <c r="D14" s="77">
        <v>0</v>
      </c>
      <c r="E14" s="77">
        <v>0</v>
      </c>
    </row>
    <row r="15" spans="1:5" x14ac:dyDescent="0.3">
      <c r="A15" s="97">
        <v>42961</v>
      </c>
      <c r="B15" s="77">
        <v>6.5599999999999992E-2</v>
      </c>
      <c r="C15" s="77">
        <v>6.8250000000000005E-2</v>
      </c>
      <c r="D15" s="77">
        <v>7.0583300000000002E-2</v>
      </c>
      <c r="E15" s="77">
        <v>7.4666700000000003E-2</v>
      </c>
    </row>
    <row r="16" spans="1:5" x14ac:dyDescent="0.3">
      <c r="A16" s="97">
        <v>42962</v>
      </c>
      <c r="B16" s="77">
        <v>6.5599999999999992E-2</v>
      </c>
      <c r="C16" s="77">
        <v>6.8250000000000005E-2</v>
      </c>
      <c r="D16" s="77">
        <v>7.0583300000000002E-2</v>
      </c>
      <c r="E16" s="77">
        <v>7.4666700000000003E-2</v>
      </c>
    </row>
    <row r="17" spans="1:5" x14ac:dyDescent="0.3">
      <c r="A17" s="97">
        <v>42963</v>
      </c>
      <c r="B17" s="77">
        <v>6.5599999999999992E-2</v>
      </c>
      <c r="C17" s="77">
        <v>6.8250000000000005E-2</v>
      </c>
      <c r="D17" s="77">
        <v>7.0583300000000002E-2</v>
      </c>
      <c r="E17" s="77">
        <v>7.4666700000000003E-2</v>
      </c>
    </row>
    <row r="18" spans="1:5" x14ac:dyDescent="0.3">
      <c r="A18" s="97">
        <v>42964</v>
      </c>
      <c r="B18" s="77">
        <v>6.5599999999999992E-2</v>
      </c>
      <c r="C18" s="77">
        <v>6.8250000000000005E-2</v>
      </c>
      <c r="D18" s="77">
        <v>7.0583300000000002E-2</v>
      </c>
      <c r="E18" s="77">
        <v>7.4499999999999997E-2</v>
      </c>
    </row>
    <row r="19" spans="1:5" x14ac:dyDescent="0.3">
      <c r="A19" s="97">
        <v>42965</v>
      </c>
      <c r="B19" s="77">
        <v>6.5599999999999992E-2</v>
      </c>
      <c r="C19" s="77">
        <v>6.8250000000000005E-2</v>
      </c>
      <c r="D19" s="77">
        <v>7.0583300000000002E-2</v>
      </c>
      <c r="E19" s="77">
        <v>7.4416700000000002E-2</v>
      </c>
    </row>
    <row r="20" spans="1:5" x14ac:dyDescent="0.3">
      <c r="A20" s="97">
        <v>42966</v>
      </c>
      <c r="B20" s="77">
        <v>0</v>
      </c>
      <c r="C20" s="77">
        <v>0</v>
      </c>
      <c r="D20" s="77">
        <v>0</v>
      </c>
      <c r="E20" s="77">
        <v>0</v>
      </c>
    </row>
    <row r="21" spans="1:5" x14ac:dyDescent="0.3">
      <c r="A21" s="97">
        <v>42967</v>
      </c>
      <c r="B21" s="77">
        <v>0</v>
      </c>
      <c r="C21" s="77">
        <v>0</v>
      </c>
      <c r="D21" s="77">
        <v>0</v>
      </c>
      <c r="E21" s="77">
        <v>0</v>
      </c>
    </row>
    <row r="22" spans="1:5" x14ac:dyDescent="0.3">
      <c r="A22" s="97">
        <v>42968</v>
      </c>
      <c r="B22" s="77">
        <v>6.5599999999999992E-2</v>
      </c>
      <c r="C22" s="77">
        <v>6.8250000000000005E-2</v>
      </c>
      <c r="D22" s="77">
        <v>7.0583300000000002E-2</v>
      </c>
      <c r="E22" s="77">
        <v>7.4333299999999991E-2</v>
      </c>
    </row>
    <row r="23" spans="1:5" x14ac:dyDescent="0.3">
      <c r="A23" s="97">
        <v>42969</v>
      </c>
      <c r="B23" s="77">
        <v>6.5500000000000003E-2</v>
      </c>
      <c r="C23" s="77">
        <v>6.8166699999999997E-2</v>
      </c>
      <c r="D23" s="77">
        <v>7.0499999999999993E-2</v>
      </c>
      <c r="E23" s="77">
        <v>7.4249999999999997E-2</v>
      </c>
    </row>
    <row r="24" spans="1:5" x14ac:dyDescent="0.3">
      <c r="A24" s="97">
        <v>42970</v>
      </c>
      <c r="B24" s="77">
        <v>6.5500000000000003E-2</v>
      </c>
      <c r="C24" s="77">
        <v>6.8166699999999997E-2</v>
      </c>
      <c r="D24" s="77">
        <v>7.0499999999999993E-2</v>
      </c>
      <c r="E24" s="77">
        <v>7.4249999999999997E-2</v>
      </c>
    </row>
    <row r="25" spans="1:5" x14ac:dyDescent="0.3">
      <c r="A25" s="97">
        <v>42971</v>
      </c>
      <c r="B25" s="77">
        <v>6.5500000000000003E-2</v>
      </c>
      <c r="C25" s="77">
        <v>6.8166699999999997E-2</v>
      </c>
      <c r="D25" s="77">
        <v>7.0499999999999993E-2</v>
      </c>
      <c r="E25" s="77">
        <v>7.4249999999999997E-2</v>
      </c>
    </row>
    <row r="26" spans="1:5" x14ac:dyDescent="0.3">
      <c r="A26" s="97">
        <v>42972</v>
      </c>
      <c r="B26" s="77">
        <v>6.5500000000000003E-2</v>
      </c>
      <c r="C26" s="77">
        <v>6.8166699999999997E-2</v>
      </c>
      <c r="D26" s="77">
        <v>7.0499999999999993E-2</v>
      </c>
      <c r="E26" s="77">
        <v>7.4249999999999997E-2</v>
      </c>
    </row>
    <row r="27" spans="1:5" x14ac:dyDescent="0.3">
      <c r="A27" s="97">
        <v>42973</v>
      </c>
      <c r="B27" s="77">
        <v>0</v>
      </c>
      <c r="C27" s="77">
        <v>0</v>
      </c>
      <c r="D27" s="77">
        <v>0</v>
      </c>
      <c r="E27" s="77">
        <v>0</v>
      </c>
    </row>
    <row r="28" spans="1:5" x14ac:dyDescent="0.3">
      <c r="A28" s="97">
        <v>42974</v>
      </c>
      <c r="B28" s="77">
        <v>0</v>
      </c>
      <c r="C28" s="77">
        <v>0</v>
      </c>
      <c r="D28" s="77">
        <v>0</v>
      </c>
      <c r="E28" s="77">
        <v>0</v>
      </c>
    </row>
    <row r="29" spans="1:5" x14ac:dyDescent="0.3">
      <c r="A29" s="97">
        <v>42975</v>
      </c>
      <c r="B29" s="77">
        <v>6.5500000000000003E-2</v>
      </c>
      <c r="C29" s="77">
        <v>6.8166699999999997E-2</v>
      </c>
      <c r="D29" s="77">
        <v>7.0499999999999993E-2</v>
      </c>
      <c r="E29" s="77">
        <v>7.4083299999999991E-2</v>
      </c>
    </row>
    <row r="30" spans="1:5" x14ac:dyDescent="0.3">
      <c r="A30" s="97">
        <v>42976</v>
      </c>
      <c r="B30" s="77">
        <v>6.5500000000000003E-2</v>
      </c>
      <c r="C30" s="77">
        <v>6.8166699999999997E-2</v>
      </c>
      <c r="D30" s="77">
        <v>7.0499999999999993E-2</v>
      </c>
      <c r="E30" s="77">
        <v>7.4083299999999991E-2</v>
      </c>
    </row>
    <row r="31" spans="1:5" x14ac:dyDescent="0.3">
      <c r="A31" s="97">
        <v>42977</v>
      </c>
      <c r="B31" s="77">
        <v>6.5599999999999992E-2</v>
      </c>
      <c r="C31" s="77">
        <v>6.8166699999999997E-2</v>
      </c>
      <c r="D31" s="77">
        <v>7.0499999999999993E-2</v>
      </c>
      <c r="E31" s="77">
        <v>7.3749999999999996E-2</v>
      </c>
    </row>
    <row r="32" spans="1:5" x14ac:dyDescent="0.3">
      <c r="A32" s="97">
        <v>42978</v>
      </c>
      <c r="B32" s="77">
        <v>6.5599999999999992E-2</v>
      </c>
      <c r="C32" s="77">
        <v>6.8166699999999997E-2</v>
      </c>
      <c r="D32" s="77">
        <v>7.0499999999999993E-2</v>
      </c>
      <c r="E32" s="77">
        <v>7.3749999999999996E-2</v>
      </c>
    </row>
    <row r="33" spans="1:5" x14ac:dyDescent="0.3">
      <c r="A33" s="97">
        <v>42979</v>
      </c>
      <c r="B33" s="77">
        <v>6.5599999999999992E-2</v>
      </c>
      <c r="C33" s="77">
        <v>6.8166699999999997E-2</v>
      </c>
      <c r="D33" s="77">
        <v>7.0499999999999993E-2</v>
      </c>
      <c r="E33" s="77">
        <v>7.3749999999999996E-2</v>
      </c>
    </row>
    <row r="34" spans="1:5" x14ac:dyDescent="0.3">
      <c r="A34" s="97">
        <v>42980</v>
      </c>
      <c r="B34" s="77">
        <v>0</v>
      </c>
      <c r="C34" s="77">
        <v>0</v>
      </c>
      <c r="D34" s="77">
        <v>0</v>
      </c>
      <c r="E34" s="77">
        <v>0</v>
      </c>
    </row>
    <row r="35" spans="1:5" x14ac:dyDescent="0.3">
      <c r="A35" s="97">
        <v>42981</v>
      </c>
      <c r="B35" s="77">
        <v>0</v>
      </c>
      <c r="C35" s="77">
        <v>0</v>
      </c>
      <c r="D35" s="77">
        <v>0</v>
      </c>
      <c r="E35" s="77">
        <v>0</v>
      </c>
    </row>
    <row r="36" spans="1:5" x14ac:dyDescent="0.3">
      <c r="A36" s="97">
        <v>42982</v>
      </c>
      <c r="B36" s="77">
        <v>6.5500000000000003E-2</v>
      </c>
      <c r="C36" s="77">
        <v>6.8166699999999997E-2</v>
      </c>
      <c r="D36" s="77">
        <v>7.0416699999999999E-2</v>
      </c>
      <c r="E36" s="77">
        <v>7.358329999999999E-2</v>
      </c>
    </row>
    <row r="37" spans="1:5" x14ac:dyDescent="0.3">
      <c r="A37" s="97">
        <v>42983</v>
      </c>
      <c r="B37" s="77">
        <v>6.5500000000000003E-2</v>
      </c>
      <c r="C37" s="77">
        <v>6.8166699999999997E-2</v>
      </c>
      <c r="D37" s="77">
        <v>7.0416699999999999E-2</v>
      </c>
      <c r="E37" s="77">
        <v>7.3499999999999996E-2</v>
      </c>
    </row>
    <row r="38" spans="1:5" x14ac:dyDescent="0.3">
      <c r="A38" s="97">
        <v>42984</v>
      </c>
      <c r="B38" s="77">
        <v>6.5599999999999992E-2</v>
      </c>
      <c r="C38" s="77">
        <v>6.8166699999999997E-2</v>
      </c>
      <c r="D38" s="77">
        <v>7.0416699999999999E-2</v>
      </c>
      <c r="E38" s="77">
        <v>7.3416700000000001E-2</v>
      </c>
    </row>
    <row r="39" spans="1:5" x14ac:dyDescent="0.3">
      <c r="A39" s="97">
        <v>42985</v>
      </c>
      <c r="B39" s="77">
        <v>6.5599999999999992E-2</v>
      </c>
      <c r="C39" s="77">
        <v>6.8166699999999997E-2</v>
      </c>
      <c r="D39" s="77">
        <v>7.0416699999999999E-2</v>
      </c>
      <c r="E39" s="77">
        <v>7.3333300000000004E-2</v>
      </c>
    </row>
    <row r="40" spans="1:5" x14ac:dyDescent="0.3">
      <c r="A40" s="97">
        <v>42986</v>
      </c>
      <c r="B40" s="77">
        <v>6.5599999999999992E-2</v>
      </c>
      <c r="C40" s="77">
        <v>6.8166699999999997E-2</v>
      </c>
      <c r="D40" s="77">
        <v>7.0416699999999999E-2</v>
      </c>
      <c r="E40" s="77">
        <v>7.3333300000000004E-2</v>
      </c>
    </row>
    <row r="41" spans="1:5" x14ac:dyDescent="0.3">
      <c r="A41" s="97">
        <v>42987</v>
      </c>
      <c r="B41" s="77">
        <v>0</v>
      </c>
      <c r="C41" s="77">
        <v>0</v>
      </c>
      <c r="D41" s="77">
        <v>0</v>
      </c>
      <c r="E41" s="77">
        <v>0</v>
      </c>
    </row>
    <row r="42" spans="1:5" x14ac:dyDescent="0.3">
      <c r="A42" s="97">
        <v>42988</v>
      </c>
      <c r="B42" s="77">
        <v>0</v>
      </c>
      <c r="C42" s="77">
        <v>0</v>
      </c>
      <c r="D42" s="77">
        <v>0</v>
      </c>
      <c r="E42" s="77">
        <v>0</v>
      </c>
    </row>
    <row r="43" spans="1:5" x14ac:dyDescent="0.3">
      <c r="A43" s="97">
        <v>42989</v>
      </c>
      <c r="B43" s="77">
        <v>6.5599999999999992E-2</v>
      </c>
      <c r="C43" s="77">
        <v>6.8166699999999997E-2</v>
      </c>
      <c r="D43" s="77">
        <v>7.0416699999999999E-2</v>
      </c>
      <c r="E43" s="77">
        <v>7.3333300000000004E-2</v>
      </c>
    </row>
    <row r="44" spans="1:5" x14ac:dyDescent="0.3">
      <c r="A44" s="97">
        <v>42990</v>
      </c>
      <c r="B44" s="77">
        <v>6.5599999999999992E-2</v>
      </c>
      <c r="C44" s="77">
        <v>6.8166699999999997E-2</v>
      </c>
      <c r="D44" s="77">
        <v>7.0416699999999999E-2</v>
      </c>
      <c r="E44" s="77">
        <v>7.3333300000000004E-2</v>
      </c>
    </row>
    <row r="45" spans="1:5" x14ac:dyDescent="0.3">
      <c r="A45" s="97">
        <v>42991</v>
      </c>
      <c r="B45" s="77">
        <v>6.5599999999999992E-2</v>
      </c>
      <c r="C45" s="77">
        <v>6.8166699999999997E-2</v>
      </c>
      <c r="D45" s="77">
        <v>7.0416699999999999E-2</v>
      </c>
      <c r="E45" s="77">
        <v>7.3333300000000004E-2</v>
      </c>
    </row>
    <row r="46" spans="1:5" x14ac:dyDescent="0.3">
      <c r="A46" s="97">
        <v>42992</v>
      </c>
      <c r="B46" s="77">
        <v>6.5599999999999992E-2</v>
      </c>
      <c r="C46" s="77">
        <v>6.8166699999999997E-2</v>
      </c>
      <c r="D46" s="77">
        <v>7.0416699999999999E-2</v>
      </c>
      <c r="E46" s="77">
        <v>7.3333300000000004E-2</v>
      </c>
    </row>
    <row r="47" spans="1:5" x14ac:dyDescent="0.3">
      <c r="A47" s="97">
        <v>42993</v>
      </c>
      <c r="B47" s="77">
        <v>6.5599999999999992E-2</v>
      </c>
      <c r="C47" s="77">
        <v>6.8166699999999997E-2</v>
      </c>
      <c r="D47" s="77">
        <v>7.0333299999999987E-2</v>
      </c>
      <c r="E47" s="77">
        <v>7.3333300000000004E-2</v>
      </c>
    </row>
    <row r="48" spans="1:5" x14ac:dyDescent="0.3">
      <c r="A48" s="97">
        <v>42994</v>
      </c>
      <c r="B48" s="77">
        <v>0</v>
      </c>
      <c r="C48" s="77">
        <v>0</v>
      </c>
      <c r="D48" s="77">
        <v>0</v>
      </c>
      <c r="E48" s="77">
        <v>0</v>
      </c>
    </row>
    <row r="49" spans="1:5" x14ac:dyDescent="0.3">
      <c r="A49" s="97">
        <v>42995</v>
      </c>
      <c r="B49" s="77">
        <v>0</v>
      </c>
      <c r="C49" s="77">
        <v>0</v>
      </c>
      <c r="D49" s="77">
        <v>0</v>
      </c>
      <c r="E49" s="77">
        <v>0</v>
      </c>
    </row>
    <row r="50" spans="1:5" x14ac:dyDescent="0.3">
      <c r="A50" s="97">
        <v>42996</v>
      </c>
      <c r="B50" s="77">
        <v>6.5599999999999992E-2</v>
      </c>
      <c r="C50" s="77">
        <v>6.8166699999999997E-2</v>
      </c>
      <c r="D50" s="77">
        <v>7.0333299999999987E-2</v>
      </c>
      <c r="E50" s="77">
        <v>7.3333300000000004E-2</v>
      </c>
    </row>
    <row r="51" spans="1:5" x14ac:dyDescent="0.3">
      <c r="A51" s="97">
        <v>42997</v>
      </c>
      <c r="B51" s="77">
        <v>6.5599999999999992E-2</v>
      </c>
      <c r="C51" s="77">
        <v>6.7916699999999997E-2</v>
      </c>
      <c r="D51" s="77">
        <v>6.9833300000000001E-2</v>
      </c>
      <c r="E51" s="77">
        <v>7.3333300000000004E-2</v>
      </c>
    </row>
    <row r="52" spans="1:5" x14ac:dyDescent="0.3">
      <c r="A52" s="97">
        <v>42998</v>
      </c>
      <c r="B52" s="77">
        <v>6.5599999999999992E-2</v>
      </c>
      <c r="C52" s="77">
        <v>6.7916699999999997E-2</v>
      </c>
      <c r="D52" s="77">
        <v>6.9833300000000001E-2</v>
      </c>
      <c r="E52" s="77">
        <v>7.3166700000000001E-2</v>
      </c>
    </row>
    <row r="53" spans="1:5" x14ac:dyDescent="0.3">
      <c r="A53" s="97">
        <v>42999</v>
      </c>
      <c r="B53" s="77">
        <v>6.5599999999999992E-2</v>
      </c>
      <c r="C53" s="77">
        <v>6.7916699999999997E-2</v>
      </c>
      <c r="D53" s="77">
        <v>6.9833300000000001E-2</v>
      </c>
      <c r="E53" s="77">
        <v>7.3166700000000001E-2</v>
      </c>
    </row>
    <row r="54" spans="1:5" x14ac:dyDescent="0.3">
      <c r="A54" s="97">
        <v>43000</v>
      </c>
      <c r="B54" s="77">
        <v>6.5599999999999992E-2</v>
      </c>
      <c r="C54" s="77">
        <v>6.8000000000000005E-2</v>
      </c>
      <c r="D54" s="77">
        <v>6.9916699999999998E-2</v>
      </c>
      <c r="E54" s="77">
        <v>7.3916700000000002E-2</v>
      </c>
    </row>
    <row r="55" spans="1:5" x14ac:dyDescent="0.3">
      <c r="A55" s="97">
        <v>43001</v>
      </c>
      <c r="B55" s="77">
        <v>0</v>
      </c>
      <c r="C55" s="77">
        <v>0</v>
      </c>
      <c r="D55" s="77">
        <v>0</v>
      </c>
      <c r="E55" s="77">
        <v>0</v>
      </c>
    </row>
    <row r="56" spans="1:5" x14ac:dyDescent="0.3">
      <c r="A56" s="97">
        <v>43002</v>
      </c>
      <c r="B56" s="77">
        <v>0</v>
      </c>
      <c r="C56" s="77">
        <v>0</v>
      </c>
      <c r="D56" s="77">
        <v>0</v>
      </c>
      <c r="E56" s="77">
        <v>0</v>
      </c>
    </row>
    <row r="57" spans="1:5" x14ac:dyDescent="0.3">
      <c r="A57" s="97">
        <v>43003</v>
      </c>
      <c r="B57" s="77">
        <v>0</v>
      </c>
      <c r="C57" s="77">
        <v>0</v>
      </c>
      <c r="D57" s="77">
        <v>0</v>
      </c>
      <c r="E57" s="77">
        <v>0</v>
      </c>
    </row>
    <row r="58" spans="1:5" x14ac:dyDescent="0.3">
      <c r="A58" s="97">
        <v>43004</v>
      </c>
      <c r="B58" s="77">
        <v>6.5599999999999992E-2</v>
      </c>
      <c r="C58" s="77">
        <v>6.8000000000000005E-2</v>
      </c>
      <c r="D58" s="77">
        <v>6.9916699999999998E-2</v>
      </c>
      <c r="E58" s="77">
        <v>7.3916700000000002E-2</v>
      </c>
    </row>
    <row r="59" spans="1:5" x14ac:dyDescent="0.3">
      <c r="A59" s="97">
        <v>43005</v>
      </c>
      <c r="B59" s="77">
        <v>6.5599999999999992E-2</v>
      </c>
      <c r="C59" s="77">
        <v>6.8000000000000005E-2</v>
      </c>
      <c r="D59" s="77">
        <v>6.9916699999999998E-2</v>
      </c>
      <c r="E59" s="77">
        <v>7.4083299999999991E-2</v>
      </c>
    </row>
    <row r="60" spans="1:5" x14ac:dyDescent="0.3">
      <c r="A60" s="97">
        <v>43006</v>
      </c>
      <c r="B60" s="77">
        <v>6.5599999999999992E-2</v>
      </c>
      <c r="C60" s="77">
        <v>6.8000000000000005E-2</v>
      </c>
      <c r="D60" s="77">
        <v>6.9916699999999998E-2</v>
      </c>
      <c r="E60" s="77">
        <v>7.4083299999999991E-2</v>
      </c>
    </row>
    <row r="61" spans="1:5" x14ac:dyDescent="0.3">
      <c r="A61" s="97">
        <v>43007</v>
      </c>
      <c r="B61" s="77">
        <v>6.5700000000000008E-2</v>
      </c>
      <c r="C61" s="77">
        <v>6.8000000000000005E-2</v>
      </c>
      <c r="D61" s="77">
        <v>6.9916699999999998E-2</v>
      </c>
      <c r="E61" s="77">
        <v>7.4083299999999991E-2</v>
      </c>
    </row>
    <row r="62" spans="1:5" x14ac:dyDescent="0.3">
      <c r="A62" s="97">
        <v>43008</v>
      </c>
      <c r="B62" s="77">
        <v>0</v>
      </c>
      <c r="C62" s="77">
        <v>0</v>
      </c>
      <c r="D62" s="77">
        <v>0</v>
      </c>
      <c r="E62" s="77">
        <v>0</v>
      </c>
    </row>
    <row r="63" spans="1:5" x14ac:dyDescent="0.3">
      <c r="A63" s="97">
        <v>43009</v>
      </c>
      <c r="B63" s="77">
        <v>0</v>
      </c>
      <c r="C63" s="77">
        <v>0</v>
      </c>
      <c r="D63" s="77">
        <v>0</v>
      </c>
      <c r="E63" s="77">
        <v>0</v>
      </c>
    </row>
    <row r="64" spans="1:5" x14ac:dyDescent="0.3">
      <c r="A64" s="97">
        <v>43010</v>
      </c>
      <c r="B64" s="77">
        <v>6.5700000000000008E-2</v>
      </c>
      <c r="C64" s="77">
        <v>6.8000000000000005E-2</v>
      </c>
      <c r="D64" s="77">
        <v>6.9916699999999998E-2</v>
      </c>
      <c r="E64" s="77">
        <v>7.4083299999999991E-2</v>
      </c>
    </row>
    <row r="65" spans="1:5" x14ac:dyDescent="0.3">
      <c r="A65" s="97">
        <v>43011</v>
      </c>
      <c r="B65" s="77">
        <v>6.5599999999999992E-2</v>
      </c>
      <c r="C65" s="77">
        <v>6.8000000000000005E-2</v>
      </c>
      <c r="D65" s="77">
        <v>6.9916699999999998E-2</v>
      </c>
      <c r="E65" s="77">
        <v>7.4083299999999991E-2</v>
      </c>
    </row>
    <row r="66" spans="1:5" x14ac:dyDescent="0.3">
      <c r="A66" s="97">
        <v>43012</v>
      </c>
      <c r="B66" s="77">
        <v>6.5599999999999992E-2</v>
      </c>
      <c r="C66" s="77">
        <v>6.8000000000000005E-2</v>
      </c>
      <c r="D66" s="77">
        <v>6.9916699999999998E-2</v>
      </c>
      <c r="E66" s="77">
        <v>7.4083299999999991E-2</v>
      </c>
    </row>
    <row r="67" spans="1:5" x14ac:dyDescent="0.3">
      <c r="A67" s="97">
        <v>43013</v>
      </c>
      <c r="B67" s="77">
        <v>6.5599999999999992E-2</v>
      </c>
      <c r="C67" s="77">
        <v>6.8000000000000005E-2</v>
      </c>
      <c r="D67" s="77">
        <v>6.9916699999999998E-2</v>
      </c>
      <c r="E67" s="77">
        <v>7.4166700000000002E-2</v>
      </c>
    </row>
    <row r="68" spans="1:5" x14ac:dyDescent="0.3">
      <c r="A68" s="97">
        <v>43014</v>
      </c>
      <c r="B68" s="77">
        <v>6.5599999999999992E-2</v>
      </c>
      <c r="C68" s="77">
        <v>6.8000000000000005E-2</v>
      </c>
      <c r="D68" s="77">
        <v>6.9916699999999998E-2</v>
      </c>
      <c r="E68" s="77">
        <v>7.4166700000000002E-2</v>
      </c>
    </row>
    <row r="69" spans="1:5" x14ac:dyDescent="0.3">
      <c r="A69" s="97">
        <v>43015</v>
      </c>
      <c r="B69" s="77">
        <v>0</v>
      </c>
      <c r="C69" s="77">
        <v>0</v>
      </c>
      <c r="D69" s="77">
        <v>0</v>
      </c>
      <c r="E69" s="77">
        <v>0</v>
      </c>
    </row>
    <row r="70" spans="1:5" x14ac:dyDescent="0.3">
      <c r="A70" s="97">
        <v>43016</v>
      </c>
      <c r="B70" s="77">
        <v>0</v>
      </c>
      <c r="C70" s="77">
        <v>0</v>
      </c>
      <c r="D70" s="77">
        <v>0</v>
      </c>
      <c r="E70" s="77">
        <v>0</v>
      </c>
    </row>
    <row r="71" spans="1:5" x14ac:dyDescent="0.3">
      <c r="A71" s="97">
        <v>43017</v>
      </c>
      <c r="B71" s="77">
        <v>6.5599999999999992E-2</v>
      </c>
      <c r="C71" s="77">
        <v>6.8000000000000005E-2</v>
      </c>
      <c r="D71" s="77">
        <v>6.9916699999999998E-2</v>
      </c>
      <c r="E71" s="77">
        <v>7.4333299999999991E-2</v>
      </c>
    </row>
    <row r="72" spans="1:5" x14ac:dyDescent="0.3">
      <c r="A72" s="97">
        <v>43018</v>
      </c>
      <c r="B72" s="77">
        <v>6.5599999999999992E-2</v>
      </c>
      <c r="C72" s="77">
        <v>6.8083299999999999E-2</v>
      </c>
      <c r="D72" s="77">
        <v>7.0083300000000001E-2</v>
      </c>
      <c r="E72" s="77">
        <v>7.4333299999999991E-2</v>
      </c>
    </row>
    <row r="73" spans="1:5" x14ac:dyDescent="0.3">
      <c r="A73" s="97">
        <v>43019</v>
      </c>
      <c r="B73" s="77">
        <v>6.5599999999999992E-2</v>
      </c>
      <c r="C73" s="77">
        <v>6.8083299999999999E-2</v>
      </c>
      <c r="D73" s="77">
        <v>7.0083300000000001E-2</v>
      </c>
      <c r="E73" s="77">
        <v>7.4333299999999991E-2</v>
      </c>
    </row>
    <row r="74" spans="1:5" x14ac:dyDescent="0.3">
      <c r="A74" s="97">
        <v>43020</v>
      </c>
      <c r="B74" s="77">
        <v>6.5599999999999992E-2</v>
      </c>
      <c r="C74" s="77">
        <v>6.8166699999999997E-2</v>
      </c>
      <c r="D74" s="77">
        <v>7.0166699999999999E-2</v>
      </c>
      <c r="E74" s="77">
        <v>7.4416700000000002E-2</v>
      </c>
    </row>
    <row r="75" spans="1:5" x14ac:dyDescent="0.3">
      <c r="A75" s="97">
        <v>43021</v>
      </c>
      <c r="B75" s="77">
        <v>6.5599999999999992E-2</v>
      </c>
      <c r="C75" s="77">
        <v>6.8250000000000005E-2</v>
      </c>
      <c r="D75" s="77">
        <v>7.0250000000000007E-2</v>
      </c>
      <c r="E75" s="77">
        <v>7.4416700000000002E-2</v>
      </c>
    </row>
    <row r="76" spans="1:5" x14ac:dyDescent="0.3">
      <c r="A76" s="97">
        <v>43022</v>
      </c>
      <c r="B76" s="77">
        <v>0</v>
      </c>
      <c r="C76" s="77">
        <v>0</v>
      </c>
      <c r="D76" s="77">
        <v>0</v>
      </c>
      <c r="E76" s="77">
        <v>0</v>
      </c>
    </row>
    <row r="77" spans="1:5" x14ac:dyDescent="0.3">
      <c r="A77" s="97">
        <v>43023</v>
      </c>
      <c r="B77" s="77">
        <v>0</v>
      </c>
      <c r="C77" s="77">
        <v>0</v>
      </c>
      <c r="D77" s="77">
        <v>0</v>
      </c>
      <c r="E77" s="77">
        <v>0</v>
      </c>
    </row>
    <row r="78" spans="1:5" x14ac:dyDescent="0.3">
      <c r="A78" s="97">
        <v>43024</v>
      </c>
      <c r="B78" s="77">
        <v>6.5599999999999992E-2</v>
      </c>
      <c r="C78" s="77">
        <v>6.8250000000000005E-2</v>
      </c>
      <c r="D78" s="77">
        <v>7.0250000000000007E-2</v>
      </c>
      <c r="E78" s="77">
        <v>7.4583300000000005E-2</v>
      </c>
    </row>
    <row r="79" spans="1:5" x14ac:dyDescent="0.3">
      <c r="A79" s="97">
        <v>43025</v>
      </c>
      <c r="B79" s="77">
        <v>6.5599999999999992E-2</v>
      </c>
      <c r="C79" s="77">
        <v>6.8250000000000005E-2</v>
      </c>
      <c r="D79" s="77">
        <v>7.0250000000000007E-2</v>
      </c>
      <c r="E79" s="77">
        <v>7.4583300000000005E-2</v>
      </c>
    </row>
    <row r="80" spans="1:5" x14ac:dyDescent="0.3">
      <c r="A80" s="97">
        <v>43026</v>
      </c>
      <c r="B80" s="77">
        <v>6.5599999999999992E-2</v>
      </c>
      <c r="C80" s="77">
        <v>6.8250000000000005E-2</v>
      </c>
      <c r="D80" s="77">
        <v>7.0250000000000007E-2</v>
      </c>
      <c r="E80" s="77">
        <v>7.4583300000000005E-2</v>
      </c>
    </row>
    <row r="81" spans="1:5" x14ac:dyDescent="0.3">
      <c r="A81" s="97">
        <v>43027</v>
      </c>
      <c r="B81" s="77">
        <v>6.5599999999999992E-2</v>
      </c>
      <c r="C81" s="77">
        <v>6.8250000000000005E-2</v>
      </c>
      <c r="D81" s="77">
        <v>7.0250000000000007E-2</v>
      </c>
      <c r="E81" s="77">
        <v>7.4666700000000003E-2</v>
      </c>
    </row>
    <row r="82" spans="1:5" x14ac:dyDescent="0.3">
      <c r="A82" s="97">
        <v>43028</v>
      </c>
      <c r="B82" s="77">
        <v>6.5599999999999992E-2</v>
      </c>
      <c r="C82" s="77">
        <v>6.8250000000000005E-2</v>
      </c>
      <c r="D82" s="77">
        <v>7.0250000000000007E-2</v>
      </c>
      <c r="E82" s="77">
        <v>7.4666700000000003E-2</v>
      </c>
    </row>
    <row r="83" spans="1:5" x14ac:dyDescent="0.3">
      <c r="A83" s="97">
        <v>43029</v>
      </c>
      <c r="B83" s="77">
        <v>0</v>
      </c>
      <c r="C83" s="77">
        <v>0</v>
      </c>
      <c r="D83" s="77">
        <v>0</v>
      </c>
      <c r="E83" s="77">
        <v>0</v>
      </c>
    </row>
    <row r="84" spans="1:5" x14ac:dyDescent="0.3">
      <c r="A84" s="97">
        <v>43030</v>
      </c>
      <c r="B84" s="77">
        <v>0</v>
      </c>
      <c r="C84" s="77">
        <v>0</v>
      </c>
      <c r="D84" s="77">
        <v>0</v>
      </c>
      <c r="E84" s="77">
        <v>0</v>
      </c>
    </row>
    <row r="85" spans="1:5" x14ac:dyDescent="0.3">
      <c r="A85" s="97">
        <v>43031</v>
      </c>
      <c r="B85" s="77">
        <v>6.5599999999999992E-2</v>
      </c>
      <c r="C85" s="77">
        <v>6.8250000000000005E-2</v>
      </c>
      <c r="D85" s="77">
        <v>7.0250000000000007E-2</v>
      </c>
      <c r="E85" s="77">
        <v>7.4666700000000003E-2</v>
      </c>
    </row>
    <row r="86" spans="1:5" x14ac:dyDescent="0.3">
      <c r="A86" s="97">
        <v>43032</v>
      </c>
      <c r="B86" s="77">
        <v>6.5599999999999992E-2</v>
      </c>
      <c r="C86" s="77">
        <v>6.8250000000000005E-2</v>
      </c>
      <c r="D86" s="77">
        <v>7.0250000000000007E-2</v>
      </c>
      <c r="E86" s="77">
        <v>7.4666700000000003E-2</v>
      </c>
    </row>
    <row r="87" spans="1:5" x14ac:dyDescent="0.3">
      <c r="A87" s="97">
        <v>43033</v>
      </c>
      <c r="B87" s="77">
        <v>6.5599999999999992E-2</v>
      </c>
      <c r="C87" s="77">
        <v>6.8250000000000005E-2</v>
      </c>
      <c r="D87" s="77">
        <v>7.0250000000000007E-2</v>
      </c>
      <c r="E87" s="77">
        <v>7.4666700000000003E-2</v>
      </c>
    </row>
    <row r="88" spans="1:5" x14ac:dyDescent="0.3">
      <c r="A88" s="97">
        <v>43034</v>
      </c>
      <c r="B88" s="77">
        <v>6.5599999999999992E-2</v>
      </c>
      <c r="C88" s="77">
        <v>6.8250000000000005E-2</v>
      </c>
      <c r="D88" s="77">
        <v>7.0250000000000007E-2</v>
      </c>
      <c r="E88" s="77">
        <v>7.5416700000000003E-2</v>
      </c>
    </row>
    <row r="89" spans="1:5" x14ac:dyDescent="0.3">
      <c r="A89" s="97">
        <v>43035</v>
      </c>
      <c r="B89" s="77">
        <v>6.5599999999999992E-2</v>
      </c>
      <c r="C89" s="77">
        <v>6.8250000000000005E-2</v>
      </c>
      <c r="D89" s="77">
        <v>7.0333299999999987E-2</v>
      </c>
      <c r="E89" s="77">
        <v>7.5583299999999992E-2</v>
      </c>
    </row>
    <row r="90" spans="1:5" x14ac:dyDescent="0.3">
      <c r="A90" s="97">
        <v>43036</v>
      </c>
      <c r="B90" s="77">
        <v>0</v>
      </c>
      <c r="C90" s="77">
        <v>0</v>
      </c>
      <c r="D90" s="77">
        <v>0</v>
      </c>
      <c r="E90" s="77">
        <v>0</v>
      </c>
    </row>
    <row r="91" spans="1:5" x14ac:dyDescent="0.3">
      <c r="A91" s="97">
        <v>43037</v>
      </c>
      <c r="B91" s="77">
        <v>0</v>
      </c>
      <c r="C91" s="77">
        <v>0</v>
      </c>
      <c r="D91" s="77">
        <v>0</v>
      </c>
      <c r="E91" s="77">
        <v>0</v>
      </c>
    </row>
    <row r="92" spans="1:5" x14ac:dyDescent="0.3">
      <c r="A92" s="97">
        <v>43038</v>
      </c>
      <c r="B92" s="77">
        <v>6.5599999999999992E-2</v>
      </c>
      <c r="C92" s="77">
        <v>6.8416700000000011E-2</v>
      </c>
      <c r="D92" s="77">
        <v>7.0499999999999993E-2</v>
      </c>
      <c r="E92" s="77">
        <v>7.5833300000000006E-2</v>
      </c>
    </row>
    <row r="93" spans="1:5" x14ac:dyDescent="0.3">
      <c r="A93" s="97">
        <v>43039</v>
      </c>
      <c r="B93" s="77">
        <v>6.5599999999999992E-2</v>
      </c>
      <c r="C93" s="77">
        <v>6.8416700000000011E-2</v>
      </c>
      <c r="D93" s="77">
        <v>7.0499999999999993E-2</v>
      </c>
      <c r="E93" s="77">
        <v>7.5749999999999998E-2</v>
      </c>
    </row>
    <row r="94" spans="1:5" x14ac:dyDescent="0.3">
      <c r="A94" s="97">
        <v>43040</v>
      </c>
      <c r="B94" s="77">
        <v>6.5599999999999992E-2</v>
      </c>
      <c r="C94" s="77">
        <v>6.8416700000000011E-2</v>
      </c>
      <c r="D94" s="77">
        <v>7.0499999999999993E-2</v>
      </c>
      <c r="E94" s="77">
        <v>7.5749999999999998E-2</v>
      </c>
    </row>
    <row r="95" spans="1:5" x14ac:dyDescent="0.3">
      <c r="A95" s="97">
        <v>43041</v>
      </c>
      <c r="B95" s="77">
        <v>6.5599999999999992E-2</v>
      </c>
      <c r="C95" s="77">
        <v>6.8416700000000011E-2</v>
      </c>
      <c r="D95" s="77">
        <v>7.0499999999999993E-2</v>
      </c>
      <c r="E95" s="77">
        <v>7.5749999999999998E-2</v>
      </c>
    </row>
    <row r="96" spans="1:5" x14ac:dyDescent="0.3">
      <c r="A96" s="97">
        <v>43042</v>
      </c>
      <c r="B96" s="77">
        <v>6.5599999999999992E-2</v>
      </c>
      <c r="C96" s="77">
        <v>6.8416700000000011E-2</v>
      </c>
      <c r="D96" s="77">
        <v>7.0499999999999993E-2</v>
      </c>
      <c r="E96" s="77">
        <v>7.5749999999999998E-2</v>
      </c>
    </row>
    <row r="97" spans="1:5" x14ac:dyDescent="0.3">
      <c r="A97" s="97">
        <v>43043</v>
      </c>
      <c r="B97" s="77">
        <v>0</v>
      </c>
      <c r="C97" s="77">
        <v>0</v>
      </c>
      <c r="D97" s="77">
        <v>0</v>
      </c>
      <c r="E97" s="77">
        <v>0</v>
      </c>
    </row>
    <row r="98" spans="1:5" x14ac:dyDescent="0.3">
      <c r="A98" s="97">
        <v>43044</v>
      </c>
      <c r="B98" s="77">
        <v>0</v>
      </c>
      <c r="C98" s="77">
        <v>0</v>
      </c>
      <c r="D98" s="77">
        <v>0</v>
      </c>
      <c r="E98" s="77">
        <v>0</v>
      </c>
    </row>
    <row r="99" spans="1:5" x14ac:dyDescent="0.3">
      <c r="A99" s="97">
        <v>43045</v>
      </c>
      <c r="B99" s="77">
        <v>6.5599999999999992E-2</v>
      </c>
      <c r="C99" s="77">
        <v>6.8416700000000011E-2</v>
      </c>
      <c r="D99" s="77">
        <v>7.0499999999999993E-2</v>
      </c>
      <c r="E99" s="77">
        <v>7.5916700000000004E-2</v>
      </c>
    </row>
    <row r="100" spans="1:5" x14ac:dyDescent="0.3">
      <c r="A100" s="97">
        <v>43046</v>
      </c>
      <c r="B100" s="77">
        <v>6.5599999999999992E-2</v>
      </c>
      <c r="C100" s="77">
        <v>6.8416700000000011E-2</v>
      </c>
      <c r="D100" s="77">
        <v>7.0499999999999993E-2</v>
      </c>
      <c r="E100" s="77">
        <v>7.5916700000000004E-2</v>
      </c>
    </row>
    <row r="101" spans="1:5" x14ac:dyDescent="0.3">
      <c r="A101" s="97">
        <v>43047</v>
      </c>
      <c r="B101" s="77">
        <v>6.5599999999999992E-2</v>
      </c>
      <c r="C101" s="77">
        <v>6.8416700000000011E-2</v>
      </c>
      <c r="D101" s="77">
        <v>7.0499999999999993E-2</v>
      </c>
      <c r="E101" s="77">
        <v>7.5916700000000004E-2</v>
      </c>
    </row>
    <row r="102" spans="1:5" x14ac:dyDescent="0.3">
      <c r="A102" s="97">
        <v>43048</v>
      </c>
      <c r="B102" s="77">
        <v>6.5599999999999992E-2</v>
      </c>
      <c r="C102" s="77">
        <v>6.8416700000000011E-2</v>
      </c>
      <c r="D102" s="77">
        <v>7.0499999999999993E-2</v>
      </c>
      <c r="E102" s="77">
        <v>7.5916700000000004E-2</v>
      </c>
    </row>
    <row r="103" spans="1:5" x14ac:dyDescent="0.3">
      <c r="A103" s="97">
        <v>43049</v>
      </c>
      <c r="B103" s="77">
        <v>6.5599999999999992E-2</v>
      </c>
      <c r="C103" s="77">
        <v>6.8416700000000011E-2</v>
      </c>
      <c r="D103" s="77">
        <v>7.0499999999999993E-2</v>
      </c>
      <c r="E103" s="77">
        <v>7.6166700000000004E-2</v>
      </c>
    </row>
    <row r="104" spans="1:5" x14ac:dyDescent="0.3">
      <c r="A104" s="97">
        <v>43050</v>
      </c>
      <c r="B104" s="77">
        <v>0</v>
      </c>
      <c r="C104" s="77">
        <v>0</v>
      </c>
      <c r="D104" s="77">
        <v>0</v>
      </c>
      <c r="E104" s="77">
        <v>0</v>
      </c>
    </row>
    <row r="105" spans="1:5" x14ac:dyDescent="0.3">
      <c r="A105" s="97">
        <v>43051</v>
      </c>
      <c r="B105" s="77">
        <v>0</v>
      </c>
      <c r="C105" s="77">
        <v>0</v>
      </c>
      <c r="D105" s="77">
        <v>0</v>
      </c>
      <c r="E105" s="77">
        <v>0</v>
      </c>
    </row>
    <row r="106" spans="1:5" x14ac:dyDescent="0.3">
      <c r="A106" s="97">
        <v>43052</v>
      </c>
      <c r="B106" s="77">
        <v>6.5500000000000003E-2</v>
      </c>
      <c r="C106" s="77">
        <v>6.8416700000000011E-2</v>
      </c>
      <c r="D106" s="77">
        <v>7.0499999999999993E-2</v>
      </c>
      <c r="E106" s="77">
        <v>7.6249999999999998E-2</v>
      </c>
    </row>
    <row r="107" spans="1:5" x14ac:dyDescent="0.3">
      <c r="A107" s="97">
        <v>43053</v>
      </c>
      <c r="B107" s="77">
        <v>6.5599999999999992E-2</v>
      </c>
      <c r="C107" s="77">
        <v>6.8416700000000011E-2</v>
      </c>
      <c r="D107" s="77">
        <v>7.0499999999999993E-2</v>
      </c>
      <c r="E107" s="77">
        <v>7.6416700000000004E-2</v>
      </c>
    </row>
    <row r="108" spans="1:5" x14ac:dyDescent="0.3">
      <c r="A108" s="97">
        <v>43054</v>
      </c>
      <c r="B108" s="77">
        <v>6.5599999999999992E-2</v>
      </c>
      <c r="C108" s="77">
        <v>6.8416700000000011E-2</v>
      </c>
      <c r="D108" s="77">
        <v>7.0666699999999999E-2</v>
      </c>
      <c r="E108" s="77">
        <v>7.6583299999999993E-2</v>
      </c>
    </row>
    <row r="109" spans="1:5" x14ac:dyDescent="0.3">
      <c r="A109" s="97">
        <v>43055</v>
      </c>
      <c r="B109" s="77">
        <v>6.5599999999999992E-2</v>
      </c>
      <c r="C109" s="77">
        <v>6.8416700000000011E-2</v>
      </c>
      <c r="D109" s="77">
        <v>7.0666699999999999E-2</v>
      </c>
      <c r="E109" s="77">
        <v>7.6583299999999993E-2</v>
      </c>
    </row>
    <row r="110" spans="1:5" x14ac:dyDescent="0.3">
      <c r="A110" s="97">
        <v>43056</v>
      </c>
      <c r="B110" s="77">
        <v>6.5599999999999992E-2</v>
      </c>
      <c r="C110" s="77">
        <v>6.8416700000000011E-2</v>
      </c>
      <c r="D110" s="77">
        <v>7.0750000000000007E-2</v>
      </c>
      <c r="E110" s="77">
        <v>7.6583299999999993E-2</v>
      </c>
    </row>
    <row r="111" spans="1:5" x14ac:dyDescent="0.3">
      <c r="A111" s="97">
        <v>43057</v>
      </c>
      <c r="B111" s="77">
        <v>0</v>
      </c>
      <c r="C111" s="77">
        <v>0</v>
      </c>
      <c r="D111" s="77">
        <v>0</v>
      </c>
      <c r="E111" s="77">
        <v>0</v>
      </c>
    </row>
    <row r="112" spans="1:5" x14ac:dyDescent="0.3">
      <c r="A112" s="97">
        <v>43058</v>
      </c>
      <c r="B112" s="77">
        <v>0</v>
      </c>
      <c r="C112" s="77">
        <v>0</v>
      </c>
      <c r="D112" s="77">
        <v>0</v>
      </c>
      <c r="E112" s="77">
        <v>0</v>
      </c>
    </row>
    <row r="113" spans="1:5" x14ac:dyDescent="0.3">
      <c r="A113" s="97">
        <v>43059</v>
      </c>
      <c r="B113" s="77">
        <v>6.5599999999999992E-2</v>
      </c>
      <c r="C113" s="77">
        <v>6.8416700000000011E-2</v>
      </c>
      <c r="D113" s="77">
        <v>7.0750000000000007E-2</v>
      </c>
      <c r="E113" s="77">
        <v>7.6583299999999993E-2</v>
      </c>
    </row>
    <row r="114" spans="1:5" x14ac:dyDescent="0.3">
      <c r="A114" s="97">
        <v>43060</v>
      </c>
      <c r="B114" s="77">
        <v>6.5500000000000003E-2</v>
      </c>
      <c r="C114" s="77">
        <v>6.8416700000000011E-2</v>
      </c>
      <c r="D114" s="77">
        <v>7.0833300000000002E-2</v>
      </c>
      <c r="E114" s="77">
        <v>7.6583299999999993E-2</v>
      </c>
    </row>
    <row r="115" spans="1:5" x14ac:dyDescent="0.3">
      <c r="A115" s="97">
        <v>43061</v>
      </c>
      <c r="B115" s="77">
        <v>6.5500000000000003E-2</v>
      </c>
      <c r="C115" s="77">
        <v>6.8416700000000011E-2</v>
      </c>
      <c r="D115" s="77">
        <v>7.0999999999999994E-2</v>
      </c>
      <c r="E115" s="77">
        <v>7.6833299999999993E-2</v>
      </c>
    </row>
    <row r="116" spans="1:5" x14ac:dyDescent="0.3">
      <c r="A116" s="97">
        <v>43062</v>
      </c>
      <c r="B116" s="77">
        <v>6.5500000000000003E-2</v>
      </c>
      <c r="C116" s="77">
        <v>6.8416700000000011E-2</v>
      </c>
      <c r="D116" s="77">
        <v>7.0999999999999994E-2</v>
      </c>
      <c r="E116" s="77">
        <v>7.6749999999999999E-2</v>
      </c>
    </row>
    <row r="117" spans="1:5" x14ac:dyDescent="0.3">
      <c r="A117" s="97">
        <v>43063</v>
      </c>
      <c r="B117" s="77">
        <v>6.5500000000000003E-2</v>
      </c>
      <c r="C117" s="77">
        <v>6.8416700000000011E-2</v>
      </c>
      <c r="D117" s="77">
        <v>7.0999999999999994E-2</v>
      </c>
      <c r="E117" s="77">
        <v>7.6749999999999999E-2</v>
      </c>
    </row>
    <row r="118" spans="1:5" x14ac:dyDescent="0.3">
      <c r="A118" s="97">
        <v>43064</v>
      </c>
      <c r="B118" s="77">
        <v>0</v>
      </c>
      <c r="C118" s="77">
        <v>0</v>
      </c>
      <c r="D118" s="77">
        <v>0</v>
      </c>
      <c r="E118" s="77">
        <v>0</v>
      </c>
    </row>
    <row r="119" spans="1:5" x14ac:dyDescent="0.3">
      <c r="A119" s="97">
        <v>43065</v>
      </c>
      <c r="B119" s="77">
        <v>0</v>
      </c>
      <c r="C119" s="77">
        <v>0</v>
      </c>
      <c r="D119" s="77">
        <v>0</v>
      </c>
      <c r="E119" s="77">
        <v>0</v>
      </c>
    </row>
    <row r="120" spans="1:5" x14ac:dyDescent="0.3">
      <c r="A120" s="97">
        <v>43066</v>
      </c>
      <c r="B120" s="77">
        <v>6.5500000000000003E-2</v>
      </c>
      <c r="C120" s="77">
        <v>6.8499999999999991E-2</v>
      </c>
      <c r="D120" s="77">
        <v>7.1249999999999994E-2</v>
      </c>
      <c r="E120" s="77">
        <v>7.7083300000000007E-2</v>
      </c>
    </row>
    <row r="121" spans="1:5" x14ac:dyDescent="0.3">
      <c r="A121" s="97">
        <v>43067</v>
      </c>
      <c r="B121" s="77">
        <v>6.5500000000000003E-2</v>
      </c>
      <c r="C121" s="77">
        <v>6.85833E-2</v>
      </c>
      <c r="D121" s="77">
        <v>7.1249999999999994E-2</v>
      </c>
      <c r="E121" s="77">
        <v>7.6999999999999999E-2</v>
      </c>
    </row>
    <row r="122" spans="1:5" x14ac:dyDescent="0.3">
      <c r="A122" s="97">
        <v>43068</v>
      </c>
      <c r="B122" s="77">
        <v>6.5500000000000003E-2</v>
      </c>
      <c r="C122" s="77">
        <v>6.85833E-2</v>
      </c>
      <c r="D122" s="77">
        <v>7.1249999999999994E-2</v>
      </c>
      <c r="E122" s="77">
        <v>7.6999999999999999E-2</v>
      </c>
    </row>
    <row r="123" spans="1:5" x14ac:dyDescent="0.3">
      <c r="A123" s="97">
        <v>43069</v>
      </c>
      <c r="B123" s="77">
        <v>6.5500000000000003E-2</v>
      </c>
      <c r="C123" s="77">
        <v>6.85833E-2</v>
      </c>
      <c r="D123" s="77">
        <v>7.1249999999999994E-2</v>
      </c>
      <c r="E123" s="77">
        <v>7.7083300000000007E-2</v>
      </c>
    </row>
    <row r="124" spans="1:5" x14ac:dyDescent="0.3">
      <c r="A124" s="97">
        <v>43070</v>
      </c>
      <c r="B124" s="77">
        <v>6.5500000000000003E-2</v>
      </c>
      <c r="C124" s="77">
        <v>6.85833E-2</v>
      </c>
      <c r="D124" s="77">
        <v>7.1249999999999994E-2</v>
      </c>
      <c r="E124" s="77">
        <v>7.7249999999999999E-2</v>
      </c>
    </row>
    <row r="125" spans="1:5" x14ac:dyDescent="0.3">
      <c r="A125" s="97">
        <v>43071</v>
      </c>
      <c r="B125" s="77">
        <v>0</v>
      </c>
      <c r="C125" s="77">
        <v>0</v>
      </c>
      <c r="D125" s="77">
        <v>0</v>
      </c>
      <c r="E125" s="77">
        <v>0</v>
      </c>
    </row>
    <row r="126" spans="1:5" x14ac:dyDescent="0.3">
      <c r="A126" s="97">
        <v>43072</v>
      </c>
      <c r="B126" s="77">
        <v>0</v>
      </c>
      <c r="C126" s="77">
        <v>0</v>
      </c>
      <c r="D126" s="77">
        <v>0</v>
      </c>
      <c r="E126" s="77">
        <v>0</v>
      </c>
    </row>
    <row r="127" spans="1:5" x14ac:dyDescent="0.3">
      <c r="A127" s="97">
        <v>43073</v>
      </c>
      <c r="B127" s="77">
        <v>6.5500000000000003E-2</v>
      </c>
      <c r="C127" s="77">
        <v>6.85833E-2</v>
      </c>
      <c r="D127" s="77">
        <v>7.1249999999999994E-2</v>
      </c>
      <c r="E127" s="77">
        <v>7.7249999999999999E-2</v>
      </c>
    </row>
    <row r="128" spans="1:5" x14ac:dyDescent="0.3">
      <c r="A128" s="97">
        <v>43074</v>
      </c>
      <c r="B128" s="77">
        <v>6.5500000000000003E-2</v>
      </c>
      <c r="C128" s="77">
        <v>6.85833E-2</v>
      </c>
      <c r="D128" s="77">
        <v>7.1249999999999994E-2</v>
      </c>
      <c r="E128" s="77">
        <v>7.7333299999999994E-2</v>
      </c>
    </row>
    <row r="129" spans="1:5" x14ac:dyDescent="0.3">
      <c r="A129" s="97">
        <v>43075</v>
      </c>
      <c r="B129" s="77">
        <v>6.5500000000000003E-2</v>
      </c>
      <c r="C129" s="77">
        <v>6.8666699999999997E-2</v>
      </c>
      <c r="D129" s="77">
        <v>7.1249999999999994E-2</v>
      </c>
      <c r="E129" s="77">
        <v>7.7333299999999994E-2</v>
      </c>
    </row>
    <row r="130" spans="1:5" x14ac:dyDescent="0.3">
      <c r="A130" s="97">
        <v>43076</v>
      </c>
      <c r="B130" s="77">
        <v>6.5500000000000003E-2</v>
      </c>
      <c r="C130" s="77">
        <v>6.8666699999999997E-2</v>
      </c>
      <c r="D130" s="77">
        <v>7.1249999999999994E-2</v>
      </c>
      <c r="E130" s="77">
        <v>7.7333299999999994E-2</v>
      </c>
    </row>
    <row r="131" spans="1:5" x14ac:dyDescent="0.3">
      <c r="A131" s="97">
        <v>43077</v>
      </c>
      <c r="B131" s="77">
        <v>6.5500000000000003E-2</v>
      </c>
      <c r="C131" s="77">
        <v>6.8666699999999997E-2</v>
      </c>
      <c r="D131" s="77">
        <v>7.1249999999999994E-2</v>
      </c>
      <c r="E131" s="77">
        <v>7.7333299999999994E-2</v>
      </c>
    </row>
    <row r="132" spans="1:5" x14ac:dyDescent="0.3">
      <c r="A132" s="97">
        <v>43078</v>
      </c>
      <c r="B132" s="77">
        <v>0</v>
      </c>
      <c r="C132" s="77">
        <v>0</v>
      </c>
      <c r="D132" s="77">
        <v>0</v>
      </c>
      <c r="E132" s="77">
        <v>0</v>
      </c>
    </row>
    <row r="133" spans="1:5" x14ac:dyDescent="0.3">
      <c r="A133" s="97">
        <v>43079</v>
      </c>
      <c r="B133" s="77">
        <v>0</v>
      </c>
      <c r="C133" s="77">
        <v>0</v>
      </c>
      <c r="D133" s="77">
        <v>0</v>
      </c>
      <c r="E133" s="77">
        <v>0</v>
      </c>
    </row>
    <row r="134" spans="1:5" x14ac:dyDescent="0.3">
      <c r="A134" s="97">
        <v>43080</v>
      </c>
      <c r="B134" s="77">
        <v>6.5500000000000003E-2</v>
      </c>
      <c r="C134" s="77">
        <v>6.8750000000000006E-2</v>
      </c>
      <c r="D134" s="77">
        <v>7.1249999999999994E-2</v>
      </c>
      <c r="E134" s="77">
        <v>7.7333299999999994E-2</v>
      </c>
    </row>
    <row r="135" spans="1:5" x14ac:dyDescent="0.3">
      <c r="A135" s="97">
        <v>43081</v>
      </c>
      <c r="B135" s="77">
        <v>6.5500000000000003E-2</v>
      </c>
      <c r="C135" s="77">
        <v>6.8750000000000006E-2</v>
      </c>
      <c r="D135" s="77">
        <v>7.1249999999999994E-2</v>
      </c>
      <c r="E135" s="77">
        <v>7.7333299999999994E-2</v>
      </c>
    </row>
    <row r="136" spans="1:5" x14ac:dyDescent="0.3">
      <c r="A136" s="97">
        <v>43082</v>
      </c>
      <c r="B136" s="77">
        <v>6.5500000000000003E-2</v>
      </c>
      <c r="C136" s="77">
        <v>6.8750000000000006E-2</v>
      </c>
      <c r="D136" s="77">
        <v>7.1333300000000002E-2</v>
      </c>
      <c r="E136" s="77">
        <v>7.7333299999999994E-2</v>
      </c>
    </row>
    <row r="137" spans="1:5" x14ac:dyDescent="0.3">
      <c r="A137" s="97">
        <v>43083</v>
      </c>
      <c r="B137" s="77">
        <v>6.5500000000000003E-2</v>
      </c>
      <c r="C137" s="77">
        <v>6.8750000000000006E-2</v>
      </c>
      <c r="D137" s="77">
        <v>7.14167E-2</v>
      </c>
      <c r="E137" s="77">
        <v>7.7333299999999994E-2</v>
      </c>
    </row>
    <row r="138" spans="1:5" x14ac:dyDescent="0.3">
      <c r="A138" s="97">
        <v>43084</v>
      </c>
      <c r="B138" s="77">
        <v>6.54E-2</v>
      </c>
      <c r="C138" s="77">
        <v>6.8750000000000006E-2</v>
      </c>
      <c r="D138" s="77">
        <v>7.14167E-2</v>
      </c>
      <c r="E138" s="77">
        <v>7.7416700000000005E-2</v>
      </c>
    </row>
    <row r="139" spans="1:5" x14ac:dyDescent="0.3">
      <c r="A139" s="97">
        <v>43085</v>
      </c>
      <c r="B139" s="77">
        <v>0</v>
      </c>
      <c r="C139" s="77">
        <v>0</v>
      </c>
      <c r="D139" s="77">
        <v>0</v>
      </c>
      <c r="E139" s="77">
        <v>0</v>
      </c>
    </row>
    <row r="140" spans="1:5" x14ac:dyDescent="0.3">
      <c r="A140" s="97">
        <v>43086</v>
      </c>
      <c r="B140" s="77">
        <v>0</v>
      </c>
      <c r="C140" s="77">
        <v>0</v>
      </c>
      <c r="D140" s="77">
        <v>0</v>
      </c>
      <c r="E140" s="77">
        <v>0</v>
      </c>
    </row>
    <row r="141" spans="1:5" x14ac:dyDescent="0.3">
      <c r="A141" s="97">
        <v>43087</v>
      </c>
      <c r="B141" s="77">
        <v>6.54E-2</v>
      </c>
      <c r="C141" s="77">
        <v>6.88333E-2</v>
      </c>
      <c r="D141" s="77">
        <v>7.14167E-2</v>
      </c>
      <c r="E141" s="77">
        <v>7.7166700000000005E-2</v>
      </c>
    </row>
    <row r="142" spans="1:5" x14ac:dyDescent="0.3">
      <c r="A142" s="97">
        <v>43088</v>
      </c>
      <c r="B142" s="77">
        <v>6.54E-2</v>
      </c>
      <c r="C142" s="77">
        <v>6.88333E-2</v>
      </c>
      <c r="D142" s="77">
        <v>7.14167E-2</v>
      </c>
      <c r="E142" s="77">
        <v>7.7083300000000007E-2</v>
      </c>
    </row>
    <row r="143" spans="1:5" x14ac:dyDescent="0.3">
      <c r="A143" s="97">
        <v>43089</v>
      </c>
      <c r="B143" s="77">
        <v>6.5299999999999997E-2</v>
      </c>
      <c r="C143" s="77">
        <v>6.88333E-2</v>
      </c>
      <c r="D143" s="77">
        <v>7.14167E-2</v>
      </c>
      <c r="E143" s="77">
        <v>7.6999999999999999E-2</v>
      </c>
    </row>
    <row r="144" spans="1:5" x14ac:dyDescent="0.3">
      <c r="A144" s="97">
        <v>43090</v>
      </c>
      <c r="B144" s="77">
        <v>6.5299999999999997E-2</v>
      </c>
      <c r="C144" s="77">
        <v>6.90833E-2</v>
      </c>
      <c r="D144" s="77">
        <v>7.1583299999999989E-2</v>
      </c>
      <c r="E144" s="77">
        <v>7.6583299999999993E-2</v>
      </c>
    </row>
    <row r="145" spans="1:5" x14ac:dyDescent="0.3">
      <c r="A145" s="97">
        <v>43091</v>
      </c>
      <c r="B145" s="77">
        <v>6.5299999999999997E-2</v>
      </c>
      <c r="C145" s="77">
        <v>6.90833E-2</v>
      </c>
      <c r="D145" s="77">
        <v>7.1583299999999989E-2</v>
      </c>
      <c r="E145" s="77">
        <v>7.6416700000000004E-2</v>
      </c>
    </row>
    <row r="146" spans="1:5" x14ac:dyDescent="0.3">
      <c r="A146" s="97">
        <v>43092</v>
      </c>
      <c r="B146" s="77">
        <v>0</v>
      </c>
      <c r="C146" s="77">
        <v>0</v>
      </c>
      <c r="D146" s="77">
        <v>0</v>
      </c>
      <c r="E146" s="77">
        <v>0</v>
      </c>
    </row>
    <row r="147" spans="1:5" x14ac:dyDescent="0.3">
      <c r="A147" s="97">
        <v>43093</v>
      </c>
      <c r="B147" s="77">
        <v>0</v>
      </c>
      <c r="C147" s="77">
        <v>0</v>
      </c>
      <c r="D147" s="77">
        <v>0</v>
      </c>
      <c r="E147" s="77">
        <v>0</v>
      </c>
    </row>
    <row r="148" spans="1:5" x14ac:dyDescent="0.3">
      <c r="A148" s="97">
        <v>43094</v>
      </c>
      <c r="B148" s="77">
        <v>0</v>
      </c>
      <c r="C148" s="77">
        <v>0</v>
      </c>
      <c r="D148" s="77">
        <v>0</v>
      </c>
      <c r="E148" s="77">
        <v>0</v>
      </c>
    </row>
    <row r="149" spans="1:5" x14ac:dyDescent="0.3">
      <c r="A149" s="97">
        <v>43095</v>
      </c>
      <c r="B149" s="77">
        <v>0</v>
      </c>
      <c r="C149" s="77">
        <v>0</v>
      </c>
      <c r="D149" s="77">
        <v>0</v>
      </c>
      <c r="E149" s="77">
        <v>0</v>
      </c>
    </row>
    <row r="150" spans="1:5" x14ac:dyDescent="0.3">
      <c r="A150" s="97">
        <v>43096</v>
      </c>
      <c r="B150" s="77">
        <v>6.5299999999999997E-2</v>
      </c>
      <c r="C150" s="77">
        <v>6.90833E-2</v>
      </c>
      <c r="D150" s="77">
        <v>7.1583299999999989E-2</v>
      </c>
      <c r="E150" s="77">
        <v>7.6416700000000004E-2</v>
      </c>
    </row>
    <row r="151" spans="1:5" x14ac:dyDescent="0.3">
      <c r="A151" s="97">
        <v>43097</v>
      </c>
      <c r="B151" s="77">
        <v>6.5299999999999997E-2</v>
      </c>
      <c r="C151" s="77">
        <v>6.90833E-2</v>
      </c>
      <c r="D151" s="77">
        <v>7.1583299999999989E-2</v>
      </c>
      <c r="E151" s="77">
        <v>7.6333299999999993E-2</v>
      </c>
    </row>
    <row r="152" spans="1:5" x14ac:dyDescent="0.3">
      <c r="A152" s="97">
        <v>43098</v>
      </c>
      <c r="B152" s="77">
        <v>6.5299999999999997E-2</v>
      </c>
      <c r="C152" s="77">
        <v>6.90833E-2</v>
      </c>
      <c r="D152" s="77">
        <v>7.1583299999999989E-2</v>
      </c>
      <c r="E152" s="77">
        <v>7.5999999999999998E-2</v>
      </c>
    </row>
    <row r="153" spans="1:5" x14ac:dyDescent="0.3">
      <c r="A153" s="97">
        <v>43099</v>
      </c>
      <c r="B153" s="77">
        <v>0</v>
      </c>
      <c r="C153" s="77">
        <v>0</v>
      </c>
      <c r="D153" s="77">
        <v>0</v>
      </c>
      <c r="E153" s="77">
        <v>0</v>
      </c>
    </row>
    <row r="154" spans="1:5" x14ac:dyDescent="0.3">
      <c r="A154" s="97">
        <v>43100</v>
      </c>
      <c r="B154" s="77">
        <v>0</v>
      </c>
      <c r="C154" s="77">
        <v>0</v>
      </c>
      <c r="D154" s="77">
        <v>0</v>
      </c>
      <c r="E154" s="77">
        <v>0</v>
      </c>
    </row>
    <row r="155" spans="1:5" x14ac:dyDescent="0.3">
      <c r="A155" s="97">
        <v>43101</v>
      </c>
      <c r="B155" s="77">
        <v>0</v>
      </c>
      <c r="C155" s="77">
        <v>0</v>
      </c>
      <c r="D155" s="77">
        <v>0</v>
      </c>
      <c r="E155" s="77">
        <v>0</v>
      </c>
    </row>
    <row r="156" spans="1:5" x14ac:dyDescent="0.3">
      <c r="A156" s="97">
        <v>43102</v>
      </c>
      <c r="B156" s="77">
        <v>6.5299999999999997E-2</v>
      </c>
      <c r="C156" s="77">
        <v>6.90833E-2</v>
      </c>
      <c r="D156" s="77">
        <v>7.1583299999999989E-2</v>
      </c>
      <c r="E156" s="77">
        <v>7.5999999999999998E-2</v>
      </c>
    </row>
    <row r="157" spans="1:5" x14ac:dyDescent="0.3">
      <c r="A157" s="97">
        <v>43103</v>
      </c>
      <c r="B157" s="77">
        <v>6.5299999999999997E-2</v>
      </c>
      <c r="C157" s="77">
        <v>6.90833E-2</v>
      </c>
      <c r="D157" s="77">
        <v>7.1583299999999989E-2</v>
      </c>
      <c r="E157" s="77">
        <v>7.5583299999999992E-2</v>
      </c>
    </row>
    <row r="158" spans="1:5" x14ac:dyDescent="0.3">
      <c r="A158" s="97">
        <v>43104</v>
      </c>
      <c r="B158" s="77">
        <v>6.5299999999999997E-2</v>
      </c>
      <c r="C158" s="77">
        <v>6.90833E-2</v>
      </c>
      <c r="D158" s="77">
        <v>7.1583299999999989E-2</v>
      </c>
      <c r="E158" s="77">
        <v>7.5583299999999992E-2</v>
      </c>
    </row>
    <row r="159" spans="1:5" x14ac:dyDescent="0.3">
      <c r="A159" s="97">
        <v>43105</v>
      </c>
      <c r="B159" s="77">
        <v>6.54E-2</v>
      </c>
      <c r="C159" s="77">
        <v>6.90833E-2</v>
      </c>
      <c r="D159" s="77">
        <v>7.1583299999999989E-2</v>
      </c>
      <c r="E159" s="77">
        <v>7.5583299999999992E-2</v>
      </c>
    </row>
    <row r="160" spans="1:5" x14ac:dyDescent="0.3">
      <c r="A160" s="97">
        <v>43106</v>
      </c>
      <c r="B160" s="77">
        <v>0</v>
      </c>
      <c r="C160" s="77">
        <v>0</v>
      </c>
      <c r="D160" s="77">
        <v>0</v>
      </c>
      <c r="E160" s="77">
        <v>0</v>
      </c>
    </row>
    <row r="161" spans="1:5" x14ac:dyDescent="0.3">
      <c r="A161" s="97">
        <v>43107</v>
      </c>
      <c r="B161" s="77">
        <v>0</v>
      </c>
      <c r="C161" s="77">
        <v>0</v>
      </c>
      <c r="D161" s="77">
        <v>0</v>
      </c>
      <c r="E161" s="77">
        <v>0</v>
      </c>
    </row>
    <row r="162" spans="1:5" x14ac:dyDescent="0.3">
      <c r="A162" s="97">
        <v>43108</v>
      </c>
      <c r="B162" s="77">
        <v>6.54E-2</v>
      </c>
      <c r="C162" s="77">
        <v>6.90833E-2</v>
      </c>
      <c r="D162" s="77">
        <v>7.1583299999999989E-2</v>
      </c>
      <c r="E162" s="77">
        <v>7.5583299999999992E-2</v>
      </c>
    </row>
    <row r="163" spans="1:5" x14ac:dyDescent="0.3">
      <c r="A163" s="97">
        <v>43109</v>
      </c>
      <c r="B163" s="77">
        <v>6.54E-2</v>
      </c>
      <c r="C163" s="77">
        <v>6.90833E-2</v>
      </c>
      <c r="D163" s="77">
        <v>7.1583299999999989E-2</v>
      </c>
      <c r="E163" s="77">
        <v>7.5749999999999998E-2</v>
      </c>
    </row>
    <row r="164" spans="1:5" x14ac:dyDescent="0.3">
      <c r="A164" s="97">
        <v>43110</v>
      </c>
      <c r="B164" s="77">
        <v>6.54E-2</v>
      </c>
      <c r="C164" s="77">
        <v>6.90833E-2</v>
      </c>
      <c r="D164" s="77">
        <v>7.1583299999999989E-2</v>
      </c>
      <c r="E164" s="77">
        <v>7.5833300000000006E-2</v>
      </c>
    </row>
    <row r="165" spans="1:5" x14ac:dyDescent="0.3">
      <c r="A165" s="97">
        <v>43111</v>
      </c>
      <c r="B165" s="77">
        <v>6.54E-2</v>
      </c>
      <c r="C165" s="77">
        <v>6.90833E-2</v>
      </c>
      <c r="D165" s="77">
        <v>7.1583299999999989E-2</v>
      </c>
      <c r="E165" s="77">
        <v>7.5999999999999998E-2</v>
      </c>
    </row>
    <row r="166" spans="1:5" x14ac:dyDescent="0.3">
      <c r="A166" s="97">
        <v>43112</v>
      </c>
      <c r="B166" s="77">
        <v>6.54E-2</v>
      </c>
      <c r="C166" s="77">
        <v>6.90833E-2</v>
      </c>
      <c r="D166" s="77">
        <v>7.1583299999999989E-2</v>
      </c>
      <c r="E166" s="77">
        <v>7.5999999999999998E-2</v>
      </c>
    </row>
    <row r="167" spans="1:5" x14ac:dyDescent="0.3">
      <c r="A167" s="97">
        <v>43113</v>
      </c>
      <c r="B167" s="77">
        <v>0</v>
      </c>
      <c r="C167" s="77">
        <v>0</v>
      </c>
      <c r="D167" s="77">
        <v>0</v>
      </c>
      <c r="E167" s="77">
        <v>0</v>
      </c>
    </row>
    <row r="168" spans="1:5" x14ac:dyDescent="0.3">
      <c r="A168" s="97">
        <v>43114</v>
      </c>
      <c r="B168" s="77">
        <v>0</v>
      </c>
      <c r="C168" s="77">
        <v>0</v>
      </c>
      <c r="D168" s="77">
        <v>0</v>
      </c>
      <c r="E168" s="77">
        <v>0</v>
      </c>
    </row>
    <row r="169" spans="1:5" x14ac:dyDescent="0.3">
      <c r="A169" s="97">
        <v>43115</v>
      </c>
      <c r="B169" s="77">
        <v>6.54E-2</v>
      </c>
      <c r="C169" s="77">
        <v>6.90833E-2</v>
      </c>
      <c r="D169" s="77">
        <v>7.1500000000000008E-2</v>
      </c>
      <c r="E169" s="77">
        <v>7.5916700000000004E-2</v>
      </c>
    </row>
    <row r="170" spans="1:5" x14ac:dyDescent="0.3">
      <c r="A170" s="97">
        <v>43116</v>
      </c>
      <c r="B170" s="77">
        <v>6.54E-2</v>
      </c>
      <c r="C170" s="77">
        <v>6.90833E-2</v>
      </c>
      <c r="D170" s="77">
        <v>7.1500000000000008E-2</v>
      </c>
      <c r="E170" s="77">
        <v>7.5916700000000004E-2</v>
      </c>
    </row>
    <row r="171" spans="1:5" x14ac:dyDescent="0.3">
      <c r="A171" s="97">
        <v>43117</v>
      </c>
      <c r="B171" s="77">
        <v>6.54E-2</v>
      </c>
      <c r="C171" s="77">
        <v>6.9166699999999998E-2</v>
      </c>
      <c r="D171" s="77">
        <v>7.1500000000000008E-2</v>
      </c>
      <c r="E171" s="77">
        <v>7.5666700000000003E-2</v>
      </c>
    </row>
    <row r="172" spans="1:5" x14ac:dyDescent="0.3">
      <c r="A172" s="97">
        <v>43118</v>
      </c>
      <c r="B172" s="77">
        <v>6.54E-2</v>
      </c>
      <c r="C172" s="77">
        <v>6.9166699999999998E-2</v>
      </c>
      <c r="D172" s="77">
        <v>7.1500000000000008E-2</v>
      </c>
      <c r="E172" s="77">
        <v>7.5666700000000003E-2</v>
      </c>
    </row>
    <row r="173" spans="1:5" x14ac:dyDescent="0.3">
      <c r="A173" s="97">
        <v>43119</v>
      </c>
      <c r="B173" s="77">
        <v>6.5500000000000003E-2</v>
      </c>
      <c r="C173" s="77">
        <v>6.9166699999999998E-2</v>
      </c>
      <c r="D173" s="77">
        <v>7.1500000000000008E-2</v>
      </c>
      <c r="E173" s="77">
        <v>7.5833300000000006E-2</v>
      </c>
    </row>
    <row r="174" spans="1:5" x14ac:dyDescent="0.3">
      <c r="A174" s="97">
        <v>43120</v>
      </c>
      <c r="B174" s="77">
        <v>0</v>
      </c>
      <c r="C174" s="77">
        <v>0</v>
      </c>
      <c r="D174" s="77">
        <v>0</v>
      </c>
      <c r="E174" s="77">
        <v>0</v>
      </c>
    </row>
    <row r="175" spans="1:5" x14ac:dyDescent="0.3">
      <c r="A175" s="97">
        <v>43121</v>
      </c>
      <c r="B175" s="77">
        <v>0</v>
      </c>
      <c r="C175" s="77">
        <v>0</v>
      </c>
      <c r="D175" s="77">
        <v>0</v>
      </c>
      <c r="E175" s="77">
        <v>0</v>
      </c>
    </row>
    <row r="176" spans="1:5" x14ac:dyDescent="0.3">
      <c r="A176" s="97">
        <v>43122</v>
      </c>
      <c r="B176" s="77">
        <v>6.5500000000000003E-2</v>
      </c>
      <c r="C176" s="77">
        <v>6.90833E-2</v>
      </c>
      <c r="D176" s="77">
        <v>7.14167E-2</v>
      </c>
      <c r="E176" s="77">
        <v>7.5833300000000006E-2</v>
      </c>
    </row>
    <row r="177" spans="1:5" x14ac:dyDescent="0.3">
      <c r="A177" s="97">
        <v>43123</v>
      </c>
      <c r="B177" s="77">
        <v>6.54E-2</v>
      </c>
      <c r="C177" s="77">
        <v>6.9000000000000006E-2</v>
      </c>
      <c r="D177" s="77">
        <v>7.14167E-2</v>
      </c>
      <c r="E177" s="77">
        <v>7.5833300000000006E-2</v>
      </c>
    </row>
    <row r="178" spans="1:5" x14ac:dyDescent="0.3">
      <c r="A178" s="97">
        <v>43124</v>
      </c>
      <c r="B178" s="77">
        <v>6.5500000000000003E-2</v>
      </c>
      <c r="C178" s="77">
        <v>6.9000000000000006E-2</v>
      </c>
      <c r="D178" s="77">
        <v>7.14167E-2</v>
      </c>
      <c r="E178" s="77">
        <v>7.5833300000000006E-2</v>
      </c>
    </row>
    <row r="179" spans="1:5" x14ac:dyDescent="0.3">
      <c r="A179" s="97">
        <v>43125</v>
      </c>
      <c r="B179" s="77">
        <v>6.5500000000000003E-2</v>
      </c>
      <c r="C179" s="77">
        <v>6.9000000000000006E-2</v>
      </c>
      <c r="D179" s="77">
        <v>7.1333300000000002E-2</v>
      </c>
      <c r="E179" s="77">
        <v>7.5833300000000006E-2</v>
      </c>
    </row>
    <row r="180" spans="1:5" x14ac:dyDescent="0.3">
      <c r="A180" s="97">
        <v>43126</v>
      </c>
      <c r="B180" s="77">
        <v>6.54E-2</v>
      </c>
      <c r="C180" s="77">
        <v>6.9000000000000006E-2</v>
      </c>
      <c r="D180" s="77">
        <v>7.1333300000000002E-2</v>
      </c>
      <c r="E180" s="77">
        <v>7.5666700000000003E-2</v>
      </c>
    </row>
    <row r="181" spans="1:5" x14ac:dyDescent="0.3">
      <c r="A181" s="97">
        <v>43127</v>
      </c>
      <c r="B181" s="77">
        <v>0</v>
      </c>
      <c r="C181" s="77">
        <v>0</v>
      </c>
      <c r="D181" s="77">
        <v>0</v>
      </c>
      <c r="E181" s="77">
        <v>0</v>
      </c>
    </row>
    <row r="182" spans="1:5" x14ac:dyDescent="0.3">
      <c r="A182" s="97">
        <v>43128</v>
      </c>
      <c r="B182" s="77">
        <v>0</v>
      </c>
      <c r="C182" s="77">
        <v>0</v>
      </c>
      <c r="D182" s="77">
        <v>0</v>
      </c>
      <c r="E182" s="77">
        <v>0</v>
      </c>
    </row>
    <row r="183" spans="1:5" x14ac:dyDescent="0.3">
      <c r="A183" s="97">
        <v>43129</v>
      </c>
      <c r="B183" s="77">
        <v>6.54E-2</v>
      </c>
      <c r="C183" s="77">
        <v>6.9000000000000006E-2</v>
      </c>
      <c r="D183" s="77">
        <v>7.1333300000000002E-2</v>
      </c>
      <c r="E183" s="77">
        <v>7.5749999999999998E-2</v>
      </c>
    </row>
    <row r="184" spans="1:5" x14ac:dyDescent="0.3">
      <c r="A184" s="97">
        <v>43130</v>
      </c>
      <c r="B184" s="77">
        <v>6.54E-2</v>
      </c>
      <c r="C184" s="77">
        <v>6.9000000000000006E-2</v>
      </c>
      <c r="D184" s="77">
        <v>7.1333300000000002E-2</v>
      </c>
      <c r="E184" s="77">
        <v>7.5833300000000006E-2</v>
      </c>
    </row>
    <row r="185" spans="1:5" x14ac:dyDescent="0.3">
      <c r="A185" s="97">
        <v>43131</v>
      </c>
      <c r="B185" s="77">
        <v>6.5500000000000003E-2</v>
      </c>
      <c r="C185" s="77">
        <v>6.9000000000000006E-2</v>
      </c>
      <c r="D185" s="77">
        <v>7.1333300000000002E-2</v>
      </c>
      <c r="E185" s="77">
        <v>7.5833300000000006E-2</v>
      </c>
    </row>
    <row r="186" spans="1:5" x14ac:dyDescent="0.3">
      <c r="A186" s="97">
        <v>43132</v>
      </c>
      <c r="B186" s="77">
        <v>6.5500000000000003E-2</v>
      </c>
      <c r="C186" s="77">
        <v>6.9000000000000006E-2</v>
      </c>
      <c r="D186" s="77">
        <v>7.1333300000000002E-2</v>
      </c>
      <c r="E186" s="77">
        <v>7.5833300000000006E-2</v>
      </c>
    </row>
    <row r="187" spans="1:5" x14ac:dyDescent="0.3">
      <c r="A187" s="97">
        <v>43133</v>
      </c>
      <c r="B187" s="77">
        <v>6.5500000000000003E-2</v>
      </c>
      <c r="C187" s="77">
        <v>6.9000000000000006E-2</v>
      </c>
      <c r="D187" s="77">
        <v>7.1333300000000002E-2</v>
      </c>
      <c r="E187" s="77">
        <v>7.5916700000000004E-2</v>
      </c>
    </row>
    <row r="188" spans="1:5" x14ac:dyDescent="0.3">
      <c r="A188" s="97">
        <v>43134</v>
      </c>
      <c r="B188" s="77">
        <v>0</v>
      </c>
      <c r="C188" s="77">
        <v>0</v>
      </c>
      <c r="D188" s="77">
        <v>0</v>
      </c>
      <c r="E188" s="77">
        <v>0</v>
      </c>
    </row>
    <row r="189" spans="1:5" x14ac:dyDescent="0.3">
      <c r="A189" s="97">
        <v>43135</v>
      </c>
      <c r="B189" s="77">
        <v>0</v>
      </c>
      <c r="C189" s="77">
        <v>0</v>
      </c>
      <c r="D189" s="77">
        <v>0</v>
      </c>
      <c r="E189" s="77">
        <v>0</v>
      </c>
    </row>
    <row r="190" spans="1:5" x14ac:dyDescent="0.3">
      <c r="A190" s="97">
        <v>43136</v>
      </c>
      <c r="B190" s="77">
        <v>6.5500000000000003E-2</v>
      </c>
      <c r="C190" s="77">
        <v>6.9000000000000006E-2</v>
      </c>
      <c r="D190" s="77">
        <v>7.1333300000000002E-2</v>
      </c>
      <c r="E190" s="77">
        <v>7.5999999999999998E-2</v>
      </c>
    </row>
    <row r="191" spans="1:5" x14ac:dyDescent="0.3">
      <c r="A191" s="97">
        <v>43137</v>
      </c>
      <c r="B191" s="77">
        <v>6.5500000000000003E-2</v>
      </c>
      <c r="C191" s="77">
        <v>6.9000000000000006E-2</v>
      </c>
      <c r="D191" s="77">
        <v>7.1333300000000002E-2</v>
      </c>
      <c r="E191" s="77">
        <v>7.5999999999999998E-2</v>
      </c>
    </row>
    <row r="192" spans="1:5" x14ac:dyDescent="0.3">
      <c r="A192" s="97">
        <v>43138</v>
      </c>
      <c r="B192" s="77">
        <v>6.5599999999999992E-2</v>
      </c>
      <c r="C192" s="77">
        <v>6.9000000000000006E-2</v>
      </c>
      <c r="D192" s="77">
        <v>7.1333300000000002E-2</v>
      </c>
      <c r="E192" s="77">
        <v>7.5999999999999998E-2</v>
      </c>
    </row>
    <row r="193" spans="1:5" x14ac:dyDescent="0.3">
      <c r="A193" s="97">
        <v>43139</v>
      </c>
      <c r="B193" s="77">
        <v>6.5500000000000003E-2</v>
      </c>
      <c r="C193" s="77">
        <v>6.9000000000000006E-2</v>
      </c>
      <c r="D193" s="77">
        <v>7.1333300000000002E-2</v>
      </c>
      <c r="E193" s="77">
        <v>7.5916700000000004E-2</v>
      </c>
    </row>
    <row r="194" spans="1:5" x14ac:dyDescent="0.3">
      <c r="A194" s="97">
        <v>43140</v>
      </c>
      <c r="B194" s="77">
        <v>6.5500000000000003E-2</v>
      </c>
      <c r="C194" s="77">
        <v>6.9000000000000006E-2</v>
      </c>
      <c r="D194" s="77">
        <v>7.1333300000000002E-2</v>
      </c>
      <c r="E194" s="77">
        <v>7.5916700000000004E-2</v>
      </c>
    </row>
    <row r="195" spans="1:5" x14ac:dyDescent="0.3">
      <c r="A195" s="97">
        <v>43141</v>
      </c>
      <c r="B195" s="77">
        <v>0</v>
      </c>
      <c r="C195" s="77">
        <v>0</v>
      </c>
      <c r="D195" s="77">
        <v>0</v>
      </c>
      <c r="E195" s="77">
        <v>0</v>
      </c>
    </row>
    <row r="196" spans="1:5" x14ac:dyDescent="0.3">
      <c r="A196" s="97">
        <v>43142</v>
      </c>
      <c r="B196" s="77">
        <v>0</v>
      </c>
      <c r="C196" s="77">
        <v>0</v>
      </c>
      <c r="D196" s="77">
        <v>0</v>
      </c>
      <c r="E196" s="77">
        <v>0</v>
      </c>
    </row>
    <row r="197" spans="1:5" x14ac:dyDescent="0.3">
      <c r="A197" s="97">
        <v>43143</v>
      </c>
      <c r="B197" s="77">
        <v>6.5500000000000003E-2</v>
      </c>
      <c r="C197" s="77">
        <v>6.9000000000000006E-2</v>
      </c>
      <c r="D197" s="77">
        <v>7.1333300000000002E-2</v>
      </c>
      <c r="E197" s="77">
        <v>7.5916700000000004E-2</v>
      </c>
    </row>
    <row r="198" spans="1:5" x14ac:dyDescent="0.3">
      <c r="A198" s="97">
        <v>43144</v>
      </c>
      <c r="B198" s="77">
        <v>6.5500000000000003E-2</v>
      </c>
      <c r="C198" s="77">
        <v>6.9000000000000006E-2</v>
      </c>
      <c r="D198" s="77">
        <v>7.1333300000000002E-2</v>
      </c>
      <c r="E198" s="77">
        <v>7.5916700000000004E-2</v>
      </c>
    </row>
    <row r="199" spans="1:5" x14ac:dyDescent="0.3">
      <c r="A199" s="97">
        <v>43145</v>
      </c>
      <c r="B199" s="77">
        <v>6.5500000000000003E-2</v>
      </c>
      <c r="C199" s="77">
        <v>6.9000000000000006E-2</v>
      </c>
      <c r="D199" s="77">
        <v>7.1333300000000002E-2</v>
      </c>
      <c r="E199" s="77">
        <v>7.5833300000000006E-2</v>
      </c>
    </row>
    <row r="200" spans="1:5" x14ac:dyDescent="0.3">
      <c r="A200" s="97">
        <v>43146</v>
      </c>
      <c r="B200" s="77">
        <v>6.5500000000000003E-2</v>
      </c>
      <c r="C200" s="77">
        <v>6.9000000000000006E-2</v>
      </c>
      <c r="D200" s="77">
        <v>7.1333300000000002E-2</v>
      </c>
      <c r="E200" s="77">
        <v>7.5833300000000006E-2</v>
      </c>
    </row>
    <row r="201" spans="1:5" x14ac:dyDescent="0.3">
      <c r="A201" s="97">
        <v>43147</v>
      </c>
      <c r="B201" s="77">
        <v>6.5599999999999992E-2</v>
      </c>
      <c r="C201" s="77">
        <v>6.9000000000000006E-2</v>
      </c>
      <c r="D201" s="77">
        <v>7.1333300000000002E-2</v>
      </c>
      <c r="E201" s="77">
        <v>7.5749999999999998E-2</v>
      </c>
    </row>
    <row r="202" spans="1:5" x14ac:dyDescent="0.3">
      <c r="A202" s="97">
        <v>43148</v>
      </c>
      <c r="B202" s="77">
        <v>0</v>
      </c>
      <c r="C202" s="77">
        <v>0</v>
      </c>
      <c r="D202" s="77">
        <v>0</v>
      </c>
      <c r="E202" s="77">
        <v>0</v>
      </c>
    </row>
    <row r="203" spans="1:5" x14ac:dyDescent="0.3">
      <c r="A203" s="97">
        <v>43149</v>
      </c>
      <c r="B203" s="77">
        <v>0</v>
      </c>
      <c r="C203" s="77">
        <v>0</v>
      </c>
      <c r="D203" s="77">
        <v>0</v>
      </c>
      <c r="E203" s="77">
        <v>0</v>
      </c>
    </row>
    <row r="204" spans="1:5" x14ac:dyDescent="0.3">
      <c r="A204" s="97">
        <v>43150</v>
      </c>
      <c r="B204" s="77">
        <v>6.5599999999999992E-2</v>
      </c>
      <c r="C204" s="77">
        <v>6.8916699999999997E-2</v>
      </c>
      <c r="D204" s="77">
        <v>7.1249999999999994E-2</v>
      </c>
      <c r="E204" s="77">
        <v>7.5666700000000003E-2</v>
      </c>
    </row>
    <row r="205" spans="1:5" x14ac:dyDescent="0.3">
      <c r="A205" s="97">
        <v>43151</v>
      </c>
      <c r="B205" s="77">
        <v>6.5599999999999992E-2</v>
      </c>
      <c r="C205" s="77">
        <v>6.8916699999999997E-2</v>
      </c>
      <c r="D205" s="77">
        <v>7.1249999999999994E-2</v>
      </c>
      <c r="E205" s="77">
        <v>7.5666700000000003E-2</v>
      </c>
    </row>
    <row r="206" spans="1:5" x14ac:dyDescent="0.3">
      <c r="A206" s="97">
        <v>43152</v>
      </c>
      <c r="B206" s="77">
        <v>6.5599999999999992E-2</v>
      </c>
      <c r="C206" s="77">
        <v>6.8916699999999997E-2</v>
      </c>
      <c r="D206" s="77">
        <v>7.1249999999999994E-2</v>
      </c>
      <c r="E206" s="77">
        <v>7.5583299999999992E-2</v>
      </c>
    </row>
    <row r="207" spans="1:5" x14ac:dyDescent="0.3">
      <c r="A207" s="97">
        <v>43153</v>
      </c>
      <c r="B207" s="77">
        <v>6.5599999999999992E-2</v>
      </c>
      <c r="C207" s="77">
        <v>6.8916699999999997E-2</v>
      </c>
      <c r="D207" s="77">
        <v>7.1249999999999994E-2</v>
      </c>
      <c r="E207" s="77">
        <v>7.5416700000000003E-2</v>
      </c>
    </row>
    <row r="208" spans="1:5" x14ac:dyDescent="0.3">
      <c r="A208" s="97">
        <v>43154</v>
      </c>
      <c r="B208" s="77">
        <v>6.5599999999999992E-2</v>
      </c>
      <c r="C208" s="77">
        <v>6.8916699999999997E-2</v>
      </c>
      <c r="D208" s="77">
        <v>7.1249999999999994E-2</v>
      </c>
      <c r="E208" s="77">
        <v>7.5416700000000003E-2</v>
      </c>
    </row>
    <row r="209" spans="1:5" x14ac:dyDescent="0.3">
      <c r="A209" s="97">
        <v>43155</v>
      </c>
      <c r="B209" s="77">
        <v>0</v>
      </c>
      <c r="C209" s="77">
        <v>0</v>
      </c>
      <c r="D209" s="77">
        <v>0</v>
      </c>
      <c r="E209" s="77">
        <v>0</v>
      </c>
    </row>
    <row r="210" spans="1:5" x14ac:dyDescent="0.3">
      <c r="A210" s="97">
        <v>43156</v>
      </c>
      <c r="B210" s="77">
        <v>0</v>
      </c>
      <c r="C210" s="77">
        <v>0</v>
      </c>
      <c r="D210" s="77">
        <v>0</v>
      </c>
      <c r="E210" s="77">
        <v>0</v>
      </c>
    </row>
    <row r="211" spans="1:5" x14ac:dyDescent="0.3">
      <c r="A211" s="97">
        <v>43157</v>
      </c>
      <c r="B211" s="77">
        <v>6.5599999999999992E-2</v>
      </c>
      <c r="C211" s="77">
        <v>6.8916699999999997E-2</v>
      </c>
      <c r="D211" s="77">
        <v>7.1249999999999994E-2</v>
      </c>
      <c r="E211" s="77">
        <v>7.5333299999999992E-2</v>
      </c>
    </row>
    <row r="212" spans="1:5" x14ac:dyDescent="0.3">
      <c r="A212" s="97">
        <v>43158</v>
      </c>
      <c r="B212" s="77">
        <v>6.5599999999999992E-2</v>
      </c>
      <c r="C212" s="77">
        <v>6.8916699999999997E-2</v>
      </c>
      <c r="D212" s="77">
        <v>7.1249999999999994E-2</v>
      </c>
      <c r="E212" s="77">
        <v>7.5416700000000003E-2</v>
      </c>
    </row>
    <row r="213" spans="1:5" x14ac:dyDescent="0.3">
      <c r="A213" s="97">
        <v>43159</v>
      </c>
      <c r="B213" s="77">
        <v>6.5599999999999992E-2</v>
      </c>
      <c r="C213" s="77">
        <v>6.8916699999999997E-2</v>
      </c>
      <c r="D213" s="77">
        <v>7.1249999999999994E-2</v>
      </c>
      <c r="E213" s="77">
        <v>7.5416700000000003E-2</v>
      </c>
    </row>
    <row r="214" spans="1:5" x14ac:dyDescent="0.3">
      <c r="A214" s="97">
        <v>43160</v>
      </c>
      <c r="B214" s="77">
        <v>6.5599999999999992E-2</v>
      </c>
      <c r="C214" s="77">
        <v>6.8916699999999997E-2</v>
      </c>
      <c r="D214" s="77">
        <v>7.1249999999999994E-2</v>
      </c>
      <c r="E214" s="77">
        <v>7.5583299999999992E-2</v>
      </c>
    </row>
    <row r="215" spans="1:5" x14ac:dyDescent="0.3">
      <c r="A215" s="97">
        <v>43161</v>
      </c>
      <c r="B215" s="77">
        <v>6.5599999999999992E-2</v>
      </c>
      <c r="C215" s="77">
        <v>6.8916699999999997E-2</v>
      </c>
      <c r="D215" s="77">
        <v>7.1249999999999994E-2</v>
      </c>
      <c r="E215" s="77">
        <v>7.5499999999999998E-2</v>
      </c>
    </row>
    <row r="216" spans="1:5" x14ac:dyDescent="0.3">
      <c r="A216" s="97">
        <v>43162</v>
      </c>
      <c r="B216" s="77">
        <v>0</v>
      </c>
      <c r="C216" s="77">
        <v>0</v>
      </c>
      <c r="D216" s="77">
        <v>0</v>
      </c>
      <c r="E216" s="77">
        <v>0</v>
      </c>
    </row>
    <row r="217" spans="1:5" x14ac:dyDescent="0.3">
      <c r="A217" s="97">
        <v>43163</v>
      </c>
      <c r="B217" s="77">
        <v>0</v>
      </c>
      <c r="C217" s="77">
        <v>0</v>
      </c>
      <c r="D217" s="77">
        <v>0</v>
      </c>
      <c r="E217" s="77">
        <v>0</v>
      </c>
    </row>
    <row r="218" spans="1:5" x14ac:dyDescent="0.3">
      <c r="A218" s="97">
        <v>43164</v>
      </c>
      <c r="B218" s="77">
        <v>6.5599999999999992E-2</v>
      </c>
      <c r="C218" s="77">
        <v>6.8916699999999997E-2</v>
      </c>
      <c r="D218" s="77">
        <v>7.1249999999999994E-2</v>
      </c>
      <c r="E218" s="77">
        <v>7.5416700000000003E-2</v>
      </c>
    </row>
    <row r="219" spans="1:5" x14ac:dyDescent="0.3">
      <c r="A219" s="97">
        <v>43165</v>
      </c>
      <c r="B219" s="77">
        <v>6.5500000000000003E-2</v>
      </c>
      <c r="C219" s="77">
        <v>6.8916699999999997E-2</v>
      </c>
      <c r="D219" s="77">
        <v>7.1249999999999994E-2</v>
      </c>
      <c r="E219" s="77">
        <v>7.5416700000000003E-2</v>
      </c>
    </row>
    <row r="220" spans="1:5" x14ac:dyDescent="0.3">
      <c r="A220" s="97">
        <v>43166</v>
      </c>
      <c r="B220" s="77">
        <v>6.5500000000000003E-2</v>
      </c>
      <c r="C220" s="77">
        <v>6.8916699999999997E-2</v>
      </c>
      <c r="D220" s="77">
        <v>7.1249999999999994E-2</v>
      </c>
      <c r="E220" s="77">
        <v>7.5416700000000003E-2</v>
      </c>
    </row>
    <row r="221" spans="1:5" x14ac:dyDescent="0.3">
      <c r="A221" s="97">
        <v>43167</v>
      </c>
      <c r="B221" s="77">
        <v>6.5500000000000003E-2</v>
      </c>
      <c r="C221" s="77">
        <v>6.8916699999999997E-2</v>
      </c>
      <c r="D221" s="77">
        <v>7.1249999999999994E-2</v>
      </c>
      <c r="E221" s="77">
        <v>7.5499999999999998E-2</v>
      </c>
    </row>
    <row r="222" spans="1:5" x14ac:dyDescent="0.3">
      <c r="A222" s="97">
        <v>43168</v>
      </c>
      <c r="B222" s="77">
        <v>6.5500000000000003E-2</v>
      </c>
      <c r="C222" s="77">
        <v>6.8916699999999997E-2</v>
      </c>
      <c r="D222" s="77">
        <v>7.1249999999999994E-2</v>
      </c>
      <c r="E222" s="77">
        <v>7.5499999999999998E-2</v>
      </c>
    </row>
    <row r="223" spans="1:5" x14ac:dyDescent="0.3">
      <c r="A223" s="97">
        <v>43169</v>
      </c>
      <c r="B223" s="77">
        <v>0</v>
      </c>
      <c r="C223" s="77">
        <v>0</v>
      </c>
      <c r="D223" s="77">
        <v>0</v>
      </c>
      <c r="E223" s="77">
        <v>0</v>
      </c>
    </row>
    <row r="224" spans="1:5" x14ac:dyDescent="0.3">
      <c r="A224" s="97">
        <v>43170</v>
      </c>
      <c r="B224" s="77">
        <v>0</v>
      </c>
      <c r="C224" s="77">
        <v>0</v>
      </c>
      <c r="D224" s="77">
        <v>0</v>
      </c>
      <c r="E224" s="77">
        <v>0</v>
      </c>
    </row>
    <row r="225" spans="1:5" x14ac:dyDescent="0.3">
      <c r="A225" s="97">
        <v>43171</v>
      </c>
      <c r="B225" s="77">
        <v>6.54E-2</v>
      </c>
      <c r="C225" s="77">
        <v>6.8916699999999997E-2</v>
      </c>
      <c r="D225" s="77">
        <v>7.1249999999999994E-2</v>
      </c>
      <c r="E225" s="77">
        <v>7.5499999999999998E-2</v>
      </c>
    </row>
    <row r="226" spans="1:5" x14ac:dyDescent="0.3">
      <c r="A226" s="97">
        <v>43172</v>
      </c>
      <c r="B226" s="77">
        <v>6.54E-2</v>
      </c>
      <c r="C226" s="77">
        <v>6.8916699999999997E-2</v>
      </c>
      <c r="D226" s="77">
        <v>7.1249999999999994E-2</v>
      </c>
      <c r="E226" s="77">
        <v>7.5499999999999998E-2</v>
      </c>
    </row>
    <row r="227" spans="1:5" x14ac:dyDescent="0.3">
      <c r="A227" s="97">
        <v>43173</v>
      </c>
      <c r="B227" s="77">
        <v>6.54E-2</v>
      </c>
      <c r="C227" s="77">
        <v>6.8916699999999997E-2</v>
      </c>
      <c r="D227" s="77">
        <v>7.1249999999999994E-2</v>
      </c>
      <c r="E227" s="77">
        <v>7.5499999999999998E-2</v>
      </c>
    </row>
    <row r="228" spans="1:5" x14ac:dyDescent="0.3">
      <c r="A228" s="97">
        <v>43174</v>
      </c>
      <c r="B228" s="77">
        <v>6.54E-2</v>
      </c>
      <c r="C228" s="77">
        <v>6.8916699999999997E-2</v>
      </c>
      <c r="D228" s="77">
        <v>7.1249999999999994E-2</v>
      </c>
      <c r="E228" s="77">
        <v>7.5416700000000003E-2</v>
      </c>
    </row>
    <row r="229" spans="1:5" x14ac:dyDescent="0.3">
      <c r="A229" s="97">
        <v>43175</v>
      </c>
      <c r="B229" s="77">
        <v>6.5500000000000003E-2</v>
      </c>
      <c r="C229" s="77">
        <v>6.8916699999999997E-2</v>
      </c>
      <c r="D229" s="77">
        <v>7.1249999999999994E-2</v>
      </c>
      <c r="E229" s="77">
        <v>7.5416700000000003E-2</v>
      </c>
    </row>
    <row r="230" spans="1:5" x14ac:dyDescent="0.3">
      <c r="A230" s="97">
        <v>43176</v>
      </c>
      <c r="B230" s="77">
        <v>0</v>
      </c>
      <c r="C230" s="77">
        <v>0</v>
      </c>
      <c r="D230" s="77">
        <v>0</v>
      </c>
      <c r="E230" s="77">
        <v>0</v>
      </c>
    </row>
    <row r="231" spans="1:5" x14ac:dyDescent="0.3">
      <c r="A231" s="97">
        <v>43177</v>
      </c>
      <c r="B231" s="77">
        <v>0</v>
      </c>
      <c r="C231" s="77">
        <v>0</v>
      </c>
      <c r="D231" s="77">
        <v>0</v>
      </c>
      <c r="E231" s="77">
        <v>0</v>
      </c>
    </row>
    <row r="232" spans="1:5" x14ac:dyDescent="0.3">
      <c r="A232" s="97">
        <v>43178</v>
      </c>
      <c r="B232" s="77">
        <v>6.5599999999999992E-2</v>
      </c>
      <c r="C232" s="77">
        <v>6.8916699999999997E-2</v>
      </c>
      <c r="D232" s="77">
        <v>7.1249999999999994E-2</v>
      </c>
      <c r="E232" s="77">
        <v>7.5499999999999998E-2</v>
      </c>
    </row>
    <row r="233" spans="1:5" x14ac:dyDescent="0.3">
      <c r="A233" s="97">
        <v>43179</v>
      </c>
      <c r="B233" s="77">
        <v>6.5599999999999992E-2</v>
      </c>
      <c r="C233" s="77">
        <v>6.8916699999999997E-2</v>
      </c>
      <c r="D233" s="77">
        <v>7.1249999999999994E-2</v>
      </c>
      <c r="E233" s="77">
        <v>7.5499999999999998E-2</v>
      </c>
    </row>
    <row r="234" spans="1:5" x14ac:dyDescent="0.3">
      <c r="A234" s="97">
        <v>43180</v>
      </c>
      <c r="B234" s="77">
        <v>0</v>
      </c>
      <c r="C234" s="77">
        <v>0</v>
      </c>
      <c r="D234" s="77">
        <v>0</v>
      </c>
      <c r="E234" s="77">
        <v>0</v>
      </c>
    </row>
    <row r="235" spans="1:5" x14ac:dyDescent="0.3">
      <c r="A235" s="97">
        <v>43181</v>
      </c>
      <c r="B235" s="77">
        <v>6.5500000000000003E-2</v>
      </c>
      <c r="C235" s="77">
        <v>6.9000000000000006E-2</v>
      </c>
      <c r="D235" s="77">
        <v>7.1249999999999994E-2</v>
      </c>
      <c r="E235" s="77">
        <v>7.5333299999999992E-2</v>
      </c>
    </row>
    <row r="236" spans="1:5" x14ac:dyDescent="0.3">
      <c r="A236" s="97">
        <v>43182</v>
      </c>
      <c r="B236" s="77">
        <v>6.5500000000000003E-2</v>
      </c>
      <c r="C236" s="77">
        <v>6.9000000000000006E-2</v>
      </c>
      <c r="D236" s="77">
        <v>7.1249999999999994E-2</v>
      </c>
      <c r="E236" s="77">
        <v>7.5333299999999992E-2</v>
      </c>
    </row>
    <row r="237" spans="1:5" x14ac:dyDescent="0.3">
      <c r="A237" s="97">
        <v>43183</v>
      </c>
      <c r="B237" s="77">
        <v>0</v>
      </c>
      <c r="C237" s="77">
        <v>0</v>
      </c>
      <c r="D237" s="77">
        <v>0</v>
      </c>
      <c r="E237" s="77">
        <v>0</v>
      </c>
    </row>
    <row r="238" spans="1:5" x14ac:dyDescent="0.3">
      <c r="A238" s="97">
        <v>43184</v>
      </c>
      <c r="B238" s="77">
        <v>0</v>
      </c>
      <c r="C238" s="77">
        <v>0</v>
      </c>
      <c r="D238" s="77">
        <v>0</v>
      </c>
      <c r="E238" s="77">
        <v>0</v>
      </c>
    </row>
    <row r="239" spans="1:5" x14ac:dyDescent="0.3">
      <c r="A239" s="97">
        <v>43185</v>
      </c>
      <c r="B239" s="77">
        <v>6.5599999999999992E-2</v>
      </c>
      <c r="C239" s="77">
        <v>6.9000000000000006E-2</v>
      </c>
      <c r="D239" s="77">
        <v>7.1249999999999994E-2</v>
      </c>
      <c r="E239" s="77">
        <v>7.4999999999999997E-2</v>
      </c>
    </row>
    <row r="240" spans="1:5" x14ac:dyDescent="0.3">
      <c r="A240" s="97">
        <v>43186</v>
      </c>
      <c r="B240" s="77">
        <v>6.5599999999999992E-2</v>
      </c>
      <c r="C240" s="77">
        <v>6.9000000000000006E-2</v>
      </c>
      <c r="D240" s="77">
        <v>7.1249999999999994E-2</v>
      </c>
      <c r="E240" s="77">
        <v>7.4999999999999997E-2</v>
      </c>
    </row>
    <row r="241" spans="1:5" x14ac:dyDescent="0.3">
      <c r="A241" s="97">
        <v>43187</v>
      </c>
      <c r="B241" s="77">
        <v>6.5599999999999992E-2</v>
      </c>
      <c r="C241" s="77">
        <v>6.9000000000000006E-2</v>
      </c>
      <c r="D241" s="77">
        <v>7.1249999999999994E-2</v>
      </c>
      <c r="E241" s="77">
        <v>7.5083300000000006E-2</v>
      </c>
    </row>
    <row r="242" spans="1:5" x14ac:dyDescent="0.3">
      <c r="A242" s="97">
        <v>43188</v>
      </c>
      <c r="B242" s="77">
        <v>6.3200000000000006E-2</v>
      </c>
      <c r="C242" s="77">
        <v>6.6333299999999998E-2</v>
      </c>
      <c r="D242" s="77">
        <v>6.8666699999999997E-2</v>
      </c>
      <c r="E242" s="77">
        <v>7.3916700000000002E-2</v>
      </c>
    </row>
    <row r="243" spans="1:5" x14ac:dyDescent="0.3">
      <c r="A243" s="97">
        <v>43189</v>
      </c>
      <c r="B243" s="77">
        <v>0</v>
      </c>
      <c r="C243" s="77">
        <v>0</v>
      </c>
      <c r="D243" s="77">
        <v>0</v>
      </c>
      <c r="E243" s="77">
        <v>0</v>
      </c>
    </row>
    <row r="244" spans="1:5" x14ac:dyDescent="0.3">
      <c r="A244" s="97">
        <v>43190</v>
      </c>
      <c r="B244" s="77">
        <v>0</v>
      </c>
      <c r="C244" s="77">
        <v>0</v>
      </c>
      <c r="D244" s="77">
        <v>0</v>
      </c>
      <c r="E244" s="77">
        <v>0</v>
      </c>
    </row>
    <row r="245" spans="1:5" x14ac:dyDescent="0.3">
      <c r="A245" s="97">
        <v>43191</v>
      </c>
      <c r="B245" s="77">
        <v>0</v>
      </c>
      <c r="C245" s="77">
        <v>0</v>
      </c>
      <c r="D245" s="77">
        <v>0</v>
      </c>
      <c r="E245" s="77">
        <v>0</v>
      </c>
    </row>
    <row r="246" spans="1:5" x14ac:dyDescent="0.3">
      <c r="A246" s="97">
        <v>43192</v>
      </c>
      <c r="B246" s="77">
        <v>0</v>
      </c>
      <c r="C246" s="77">
        <v>0</v>
      </c>
      <c r="D246" s="77">
        <v>0</v>
      </c>
      <c r="E246" s="77">
        <v>0</v>
      </c>
    </row>
    <row r="247" spans="1:5" x14ac:dyDescent="0.3">
      <c r="A247" s="97">
        <v>43193</v>
      </c>
      <c r="B247" s="77">
        <v>6.3200000000000006E-2</v>
      </c>
      <c r="C247" s="77">
        <v>6.6583299999999998E-2</v>
      </c>
      <c r="D247" s="77">
        <v>6.88333E-2</v>
      </c>
      <c r="E247" s="77">
        <v>7.3833300000000004E-2</v>
      </c>
    </row>
    <row r="248" spans="1:5" x14ac:dyDescent="0.3">
      <c r="A248" s="97">
        <v>43194</v>
      </c>
      <c r="B248" s="77">
        <v>6.3200000000000006E-2</v>
      </c>
      <c r="C248" s="77">
        <v>6.6750000000000004E-2</v>
      </c>
      <c r="D248" s="77">
        <v>6.8916699999999997E-2</v>
      </c>
      <c r="E248" s="77">
        <v>7.3749999999999996E-2</v>
      </c>
    </row>
    <row r="249" spans="1:5" x14ac:dyDescent="0.3">
      <c r="A249" s="97">
        <v>43195</v>
      </c>
      <c r="B249" s="77">
        <v>6.3200000000000006E-2</v>
      </c>
      <c r="C249" s="77">
        <v>6.6750000000000004E-2</v>
      </c>
      <c r="D249" s="77">
        <v>6.8916699999999997E-2</v>
      </c>
      <c r="E249" s="77">
        <v>7.3916700000000002E-2</v>
      </c>
    </row>
    <row r="250" spans="1:5" x14ac:dyDescent="0.3">
      <c r="A250" s="97">
        <v>43196</v>
      </c>
      <c r="B250" s="77">
        <v>6.3200000000000006E-2</v>
      </c>
      <c r="C250" s="77">
        <v>6.6750000000000004E-2</v>
      </c>
      <c r="D250" s="77">
        <v>6.9000000000000006E-2</v>
      </c>
      <c r="E250" s="77">
        <v>7.400000000000001E-2</v>
      </c>
    </row>
    <row r="251" spans="1:5" x14ac:dyDescent="0.3">
      <c r="A251" s="97">
        <v>43197</v>
      </c>
      <c r="B251" s="77">
        <v>0</v>
      </c>
      <c r="C251" s="77">
        <v>0</v>
      </c>
      <c r="D251" s="77">
        <v>0</v>
      </c>
      <c r="E251" s="77">
        <v>0</v>
      </c>
    </row>
    <row r="252" spans="1:5" x14ac:dyDescent="0.3">
      <c r="A252" s="97">
        <v>43198</v>
      </c>
      <c r="B252" s="77">
        <v>0</v>
      </c>
      <c r="C252" s="77">
        <v>0</v>
      </c>
      <c r="D252" s="77">
        <v>0</v>
      </c>
      <c r="E252" s="77">
        <v>0</v>
      </c>
    </row>
    <row r="253" spans="1:5" x14ac:dyDescent="0.3">
      <c r="A253" s="97">
        <v>43199</v>
      </c>
      <c r="B253" s="77">
        <v>6.3200000000000006E-2</v>
      </c>
      <c r="C253" s="77">
        <v>6.6750000000000004E-2</v>
      </c>
      <c r="D253" s="77">
        <v>6.9000000000000006E-2</v>
      </c>
      <c r="E253" s="77">
        <v>7.400000000000001E-2</v>
      </c>
    </row>
    <row r="254" spans="1:5" x14ac:dyDescent="0.3">
      <c r="A254" s="97">
        <v>43200</v>
      </c>
      <c r="B254" s="77">
        <v>6.3200000000000006E-2</v>
      </c>
      <c r="C254" s="77">
        <v>6.6750000000000004E-2</v>
      </c>
      <c r="D254" s="77">
        <v>6.9000000000000006E-2</v>
      </c>
      <c r="E254" s="77">
        <v>7.400000000000001E-2</v>
      </c>
    </row>
    <row r="255" spans="1:5" x14ac:dyDescent="0.3">
      <c r="A255" s="97">
        <v>43201</v>
      </c>
      <c r="B255" s="77">
        <v>6.3200000000000006E-2</v>
      </c>
      <c r="C255" s="77">
        <v>6.6750000000000004E-2</v>
      </c>
      <c r="D255" s="77">
        <v>6.9000000000000006E-2</v>
      </c>
      <c r="E255" s="77">
        <v>7.4083299999999991E-2</v>
      </c>
    </row>
    <row r="256" spans="1:5" x14ac:dyDescent="0.3">
      <c r="A256" s="97">
        <v>43202</v>
      </c>
      <c r="B256" s="77">
        <v>6.3200000000000006E-2</v>
      </c>
      <c r="C256" s="77">
        <v>6.6750000000000004E-2</v>
      </c>
      <c r="D256" s="77">
        <v>6.9000000000000006E-2</v>
      </c>
      <c r="E256" s="77">
        <v>7.4083299999999991E-2</v>
      </c>
    </row>
    <row r="257" spans="1:5" x14ac:dyDescent="0.3">
      <c r="A257" s="97">
        <v>43203</v>
      </c>
      <c r="B257" s="77">
        <v>6.3200000000000006E-2</v>
      </c>
      <c r="C257" s="77">
        <v>6.6750000000000004E-2</v>
      </c>
      <c r="D257" s="77">
        <v>6.9000000000000006E-2</v>
      </c>
      <c r="E257" s="77">
        <v>7.4083299999999991E-2</v>
      </c>
    </row>
    <row r="258" spans="1:5" x14ac:dyDescent="0.3">
      <c r="A258" s="97">
        <v>43204</v>
      </c>
      <c r="B258" s="77">
        <v>0</v>
      </c>
      <c r="C258" s="77">
        <v>0</v>
      </c>
      <c r="D258" s="77">
        <v>0</v>
      </c>
      <c r="E258" s="77">
        <v>0</v>
      </c>
    </row>
    <row r="259" spans="1:5" x14ac:dyDescent="0.3">
      <c r="A259" s="97">
        <v>43205</v>
      </c>
      <c r="B259" s="77">
        <v>0</v>
      </c>
      <c r="C259" s="77">
        <v>0</v>
      </c>
      <c r="D259" s="77">
        <v>0</v>
      </c>
      <c r="E259" s="77">
        <v>0</v>
      </c>
    </row>
    <row r="260" spans="1:5" x14ac:dyDescent="0.3">
      <c r="A260" s="97">
        <v>43206</v>
      </c>
      <c r="B260" s="77">
        <v>6.3200000000000006E-2</v>
      </c>
      <c r="C260" s="77">
        <v>6.6750000000000004E-2</v>
      </c>
      <c r="D260" s="77">
        <v>6.9000000000000006E-2</v>
      </c>
      <c r="E260" s="77">
        <v>7.4083299999999991E-2</v>
      </c>
    </row>
    <row r="261" spans="1:5" x14ac:dyDescent="0.3">
      <c r="A261" s="97">
        <v>43207</v>
      </c>
      <c r="B261" s="77">
        <v>6.3200000000000006E-2</v>
      </c>
      <c r="C261" s="77">
        <v>6.6750000000000004E-2</v>
      </c>
      <c r="D261" s="77">
        <v>6.9000000000000006E-2</v>
      </c>
      <c r="E261" s="77">
        <v>7.4083299999999991E-2</v>
      </c>
    </row>
    <row r="262" spans="1:5" x14ac:dyDescent="0.3">
      <c r="A262" s="97">
        <v>43208</v>
      </c>
      <c r="B262" s="77">
        <v>6.3200000000000006E-2</v>
      </c>
      <c r="C262" s="77">
        <v>6.6750000000000004E-2</v>
      </c>
      <c r="D262" s="77">
        <v>6.9000000000000006E-2</v>
      </c>
      <c r="E262" s="77">
        <v>7.400000000000001E-2</v>
      </c>
    </row>
    <row r="263" spans="1:5" x14ac:dyDescent="0.3">
      <c r="A263" s="97">
        <v>43209</v>
      </c>
      <c r="B263" s="77">
        <v>6.3200000000000006E-2</v>
      </c>
      <c r="C263" s="77">
        <v>6.6750000000000004E-2</v>
      </c>
      <c r="D263" s="77">
        <v>6.9000000000000006E-2</v>
      </c>
      <c r="E263" s="77">
        <v>7.400000000000001E-2</v>
      </c>
    </row>
    <row r="264" spans="1:5" x14ac:dyDescent="0.3">
      <c r="A264" s="97">
        <v>43210</v>
      </c>
      <c r="B264" s="77">
        <v>6.3200000000000006E-2</v>
      </c>
      <c r="C264" s="77">
        <v>6.6750000000000004E-2</v>
      </c>
      <c r="D264" s="77">
        <v>6.9000000000000006E-2</v>
      </c>
      <c r="E264" s="77">
        <v>7.3916700000000002E-2</v>
      </c>
    </row>
    <row r="265" spans="1:5" x14ac:dyDescent="0.3">
      <c r="A265" s="97">
        <v>43211</v>
      </c>
      <c r="B265" s="77">
        <v>0</v>
      </c>
      <c r="C265" s="77">
        <v>0</v>
      </c>
      <c r="D265" s="77">
        <v>0</v>
      </c>
      <c r="E265" s="77">
        <v>0</v>
      </c>
    </row>
    <row r="266" spans="1:5" x14ac:dyDescent="0.3">
      <c r="A266" s="97">
        <v>43212</v>
      </c>
      <c r="B266" s="77">
        <v>0</v>
      </c>
      <c r="C266" s="77">
        <v>0</v>
      </c>
      <c r="D266" s="77">
        <v>0</v>
      </c>
      <c r="E266" s="77">
        <v>0</v>
      </c>
    </row>
    <row r="267" spans="1:5" x14ac:dyDescent="0.3">
      <c r="A267" s="97">
        <v>43213</v>
      </c>
      <c r="B267" s="77">
        <v>6.3200000000000006E-2</v>
      </c>
      <c r="C267" s="77">
        <v>6.6750000000000004E-2</v>
      </c>
      <c r="D267" s="77">
        <v>6.9000000000000006E-2</v>
      </c>
      <c r="E267" s="77">
        <v>7.3749999999999996E-2</v>
      </c>
    </row>
    <row r="268" spans="1:5" x14ac:dyDescent="0.3">
      <c r="A268" s="97">
        <v>43214</v>
      </c>
      <c r="B268" s="77">
        <v>6.3200000000000006E-2</v>
      </c>
      <c r="C268" s="77">
        <v>6.6750000000000004E-2</v>
      </c>
      <c r="D268" s="77">
        <v>6.9000000000000006E-2</v>
      </c>
      <c r="E268" s="77">
        <v>7.3749999999999996E-2</v>
      </c>
    </row>
    <row r="269" spans="1:5" x14ac:dyDescent="0.3">
      <c r="A269" s="97">
        <v>43215</v>
      </c>
      <c r="B269" s="77">
        <v>6.3200000000000006E-2</v>
      </c>
      <c r="C269" s="77">
        <v>6.6750000000000004E-2</v>
      </c>
      <c r="D269" s="77">
        <v>6.9000000000000006E-2</v>
      </c>
      <c r="E269" s="77">
        <v>7.3833300000000004E-2</v>
      </c>
    </row>
    <row r="270" spans="1:5" x14ac:dyDescent="0.3">
      <c r="A270" s="97">
        <v>43216</v>
      </c>
      <c r="B270" s="77">
        <v>6.3200000000000006E-2</v>
      </c>
      <c r="C270" s="77">
        <v>6.6750000000000004E-2</v>
      </c>
      <c r="D270" s="77">
        <v>6.9000000000000006E-2</v>
      </c>
      <c r="E270" s="77">
        <v>7.3833300000000004E-2</v>
      </c>
    </row>
    <row r="271" spans="1:5" x14ac:dyDescent="0.3">
      <c r="A271" s="97">
        <v>43217</v>
      </c>
      <c r="B271" s="77">
        <v>0</v>
      </c>
      <c r="C271" s="77">
        <v>0</v>
      </c>
      <c r="D271" s="77">
        <v>0</v>
      </c>
      <c r="E271" s="77">
        <v>0</v>
      </c>
    </row>
    <row r="272" spans="1:5" x14ac:dyDescent="0.3">
      <c r="A272" s="97">
        <v>43218</v>
      </c>
      <c r="B272" s="77">
        <v>0</v>
      </c>
      <c r="C272" s="77">
        <v>0</v>
      </c>
      <c r="D272" s="77">
        <v>0</v>
      </c>
      <c r="E272" s="77">
        <v>0</v>
      </c>
    </row>
    <row r="273" spans="1:5" x14ac:dyDescent="0.3">
      <c r="A273" s="97">
        <v>43219</v>
      </c>
      <c r="B273" s="77">
        <v>0</v>
      </c>
      <c r="C273" s="77">
        <v>0</v>
      </c>
      <c r="D273" s="77">
        <v>0</v>
      </c>
      <c r="E273" s="77">
        <v>0</v>
      </c>
    </row>
    <row r="274" spans="1:5" x14ac:dyDescent="0.3">
      <c r="A274" s="97">
        <v>43220</v>
      </c>
      <c r="B274" s="77">
        <v>6.3200000000000006E-2</v>
      </c>
      <c r="C274" s="77">
        <v>6.6750000000000004E-2</v>
      </c>
      <c r="D274" s="77">
        <v>6.9000000000000006E-2</v>
      </c>
      <c r="E274" s="77">
        <v>7.3833300000000004E-2</v>
      </c>
    </row>
    <row r="275" spans="1:5" x14ac:dyDescent="0.3">
      <c r="A275" s="97">
        <v>43221</v>
      </c>
      <c r="B275" s="77">
        <v>0</v>
      </c>
      <c r="C275" s="77">
        <v>0</v>
      </c>
      <c r="D275" s="77">
        <v>0</v>
      </c>
      <c r="E275" s="77">
        <v>0</v>
      </c>
    </row>
    <row r="276" spans="1:5" x14ac:dyDescent="0.3">
      <c r="A276" s="97">
        <v>43222</v>
      </c>
      <c r="B276" s="77">
        <v>6.3200000000000006E-2</v>
      </c>
      <c r="C276" s="77">
        <v>6.6750000000000004E-2</v>
      </c>
      <c r="D276" s="77">
        <v>6.9000000000000006E-2</v>
      </c>
      <c r="E276" s="77">
        <v>7.3833300000000004E-2</v>
      </c>
    </row>
    <row r="277" spans="1:5" x14ac:dyDescent="0.3">
      <c r="A277" s="97">
        <v>43223</v>
      </c>
      <c r="B277" s="77">
        <v>6.3200000000000006E-2</v>
      </c>
      <c r="C277" s="77">
        <v>6.6750000000000004E-2</v>
      </c>
      <c r="D277" s="77">
        <v>6.9000000000000006E-2</v>
      </c>
      <c r="E277" s="77">
        <v>7.3833300000000004E-2</v>
      </c>
    </row>
    <row r="278" spans="1:5" x14ac:dyDescent="0.3">
      <c r="A278" s="97">
        <v>43224</v>
      </c>
      <c r="B278" s="77">
        <v>6.3200000000000006E-2</v>
      </c>
      <c r="C278" s="77">
        <v>6.6750000000000004E-2</v>
      </c>
      <c r="D278" s="77">
        <v>6.9000000000000006E-2</v>
      </c>
      <c r="E278" s="77">
        <v>7.3916700000000002E-2</v>
      </c>
    </row>
    <row r="279" spans="1:5" x14ac:dyDescent="0.3">
      <c r="A279" s="97">
        <v>43225</v>
      </c>
      <c r="B279" s="77">
        <v>0</v>
      </c>
      <c r="C279" s="77">
        <v>0</v>
      </c>
      <c r="D279" s="77">
        <v>0</v>
      </c>
      <c r="E279" s="77">
        <v>0</v>
      </c>
    </row>
    <row r="280" spans="1:5" x14ac:dyDescent="0.3">
      <c r="A280" s="97">
        <v>43226</v>
      </c>
      <c r="B280" s="77">
        <v>0</v>
      </c>
      <c r="C280" s="77">
        <v>0</v>
      </c>
      <c r="D280" s="77">
        <v>0</v>
      </c>
      <c r="E280" s="77">
        <v>0</v>
      </c>
    </row>
    <row r="281" spans="1:5" x14ac:dyDescent="0.3">
      <c r="A281" s="97">
        <v>43227</v>
      </c>
      <c r="B281" s="77">
        <v>6.3200000000000006E-2</v>
      </c>
      <c r="C281" s="77">
        <v>6.6750000000000004E-2</v>
      </c>
      <c r="D281" s="77">
        <v>6.9000000000000006E-2</v>
      </c>
      <c r="E281" s="77">
        <v>7.400000000000001E-2</v>
      </c>
    </row>
    <row r="282" spans="1:5" x14ac:dyDescent="0.3">
      <c r="A282" s="97">
        <v>43228</v>
      </c>
      <c r="B282" s="77">
        <v>6.3200000000000006E-2</v>
      </c>
      <c r="C282" s="77">
        <v>6.6750000000000004E-2</v>
      </c>
      <c r="D282" s="77">
        <v>6.9000000000000006E-2</v>
      </c>
      <c r="E282" s="77">
        <v>7.400000000000001E-2</v>
      </c>
    </row>
    <row r="283" spans="1:5" x14ac:dyDescent="0.3">
      <c r="A283" s="97">
        <v>43229</v>
      </c>
      <c r="B283" s="77">
        <v>6.3200000000000006E-2</v>
      </c>
      <c r="C283" s="77">
        <v>6.6750000000000004E-2</v>
      </c>
      <c r="D283" s="77">
        <v>6.9000000000000006E-2</v>
      </c>
      <c r="E283" s="77">
        <v>7.400000000000001E-2</v>
      </c>
    </row>
    <row r="284" spans="1:5" x14ac:dyDescent="0.3">
      <c r="A284" s="97">
        <v>43230</v>
      </c>
      <c r="B284" s="77">
        <v>6.3200000000000006E-2</v>
      </c>
      <c r="C284" s="77">
        <v>6.6750000000000004E-2</v>
      </c>
      <c r="D284" s="77">
        <v>6.9000000000000006E-2</v>
      </c>
      <c r="E284" s="77">
        <v>7.400000000000001E-2</v>
      </c>
    </row>
    <row r="285" spans="1:5" x14ac:dyDescent="0.3">
      <c r="A285" s="97">
        <v>43231</v>
      </c>
      <c r="B285" s="77">
        <v>6.3200000000000006E-2</v>
      </c>
      <c r="C285" s="77">
        <v>6.6750000000000004E-2</v>
      </c>
      <c r="D285" s="77">
        <v>6.9000000000000006E-2</v>
      </c>
      <c r="E285" s="77">
        <v>7.400000000000001E-2</v>
      </c>
    </row>
    <row r="286" spans="1:5" x14ac:dyDescent="0.3">
      <c r="A286" s="97">
        <v>43232</v>
      </c>
      <c r="B286" s="77">
        <v>0</v>
      </c>
      <c r="C286" s="77">
        <v>0</v>
      </c>
      <c r="D286" s="77">
        <v>0</v>
      </c>
      <c r="E286" s="77">
        <v>0</v>
      </c>
    </row>
    <row r="287" spans="1:5" x14ac:dyDescent="0.3">
      <c r="A287" s="97">
        <v>43233</v>
      </c>
      <c r="B287" s="77">
        <v>0</v>
      </c>
      <c r="C287" s="77">
        <v>0</v>
      </c>
      <c r="D287" s="77">
        <v>0</v>
      </c>
      <c r="E287" s="77">
        <v>0</v>
      </c>
    </row>
    <row r="288" spans="1:5" x14ac:dyDescent="0.3">
      <c r="A288" s="97">
        <v>43234</v>
      </c>
      <c r="B288" s="77">
        <v>6.3099999999999989E-2</v>
      </c>
      <c r="C288" s="77">
        <v>6.6750000000000004E-2</v>
      </c>
      <c r="D288" s="77">
        <v>6.9000000000000006E-2</v>
      </c>
      <c r="E288" s="77">
        <v>7.400000000000001E-2</v>
      </c>
    </row>
    <row r="289" spans="1:5" x14ac:dyDescent="0.3">
      <c r="A289" s="97">
        <v>43235</v>
      </c>
      <c r="B289" s="77">
        <v>6.3099999999999989E-2</v>
      </c>
      <c r="C289" s="77">
        <v>6.6750000000000004E-2</v>
      </c>
      <c r="D289" s="77">
        <v>6.9000000000000006E-2</v>
      </c>
      <c r="E289" s="77">
        <v>7.400000000000001E-2</v>
      </c>
    </row>
    <row r="290" spans="1:5" x14ac:dyDescent="0.3">
      <c r="A290" s="97">
        <v>43236</v>
      </c>
      <c r="B290" s="77">
        <v>6.3200000000000006E-2</v>
      </c>
      <c r="C290" s="77">
        <v>6.6750000000000004E-2</v>
      </c>
      <c r="D290" s="77">
        <v>6.9000000000000006E-2</v>
      </c>
      <c r="E290" s="77">
        <v>7.4083299999999991E-2</v>
      </c>
    </row>
    <row r="291" spans="1:5" x14ac:dyDescent="0.3">
      <c r="A291" s="97">
        <v>43237</v>
      </c>
      <c r="B291" s="77">
        <v>6.3200000000000006E-2</v>
      </c>
      <c r="C291" s="77">
        <v>6.6750000000000004E-2</v>
      </c>
      <c r="D291" s="77">
        <v>6.9000000000000006E-2</v>
      </c>
      <c r="E291" s="77">
        <v>7.4083299999999991E-2</v>
      </c>
    </row>
    <row r="292" spans="1:5" x14ac:dyDescent="0.3">
      <c r="A292" s="97">
        <v>43238</v>
      </c>
      <c r="B292" s="77">
        <v>6.3200000000000006E-2</v>
      </c>
      <c r="C292" s="77">
        <v>6.6750000000000004E-2</v>
      </c>
      <c r="D292" s="77">
        <v>6.9000000000000006E-2</v>
      </c>
      <c r="E292" s="77">
        <v>7.400000000000001E-2</v>
      </c>
    </row>
    <row r="293" spans="1:5" x14ac:dyDescent="0.3">
      <c r="A293" s="97">
        <v>43239</v>
      </c>
      <c r="B293" s="77">
        <v>0</v>
      </c>
      <c r="C293" s="77">
        <v>0</v>
      </c>
      <c r="D293" s="77">
        <v>0</v>
      </c>
      <c r="E293" s="77">
        <v>0</v>
      </c>
    </row>
    <row r="294" spans="1:5" x14ac:dyDescent="0.3">
      <c r="A294" s="97">
        <v>43240</v>
      </c>
      <c r="B294" s="77">
        <v>0</v>
      </c>
      <c r="C294" s="77">
        <v>0</v>
      </c>
      <c r="D294" s="77">
        <v>0</v>
      </c>
      <c r="E294" s="77">
        <v>0</v>
      </c>
    </row>
    <row r="295" spans="1:5" x14ac:dyDescent="0.3">
      <c r="A295" s="97">
        <v>43241</v>
      </c>
      <c r="B295" s="77">
        <v>6.3200000000000006E-2</v>
      </c>
      <c r="C295" s="77">
        <v>6.6750000000000004E-2</v>
      </c>
      <c r="D295" s="77">
        <v>6.9000000000000006E-2</v>
      </c>
      <c r="E295" s="77">
        <v>7.4083299999999991E-2</v>
      </c>
    </row>
    <row r="296" spans="1:5" x14ac:dyDescent="0.3">
      <c r="A296" s="97">
        <v>43242</v>
      </c>
      <c r="B296" s="77">
        <v>6.3200000000000006E-2</v>
      </c>
      <c r="C296" s="77">
        <v>6.6750000000000004E-2</v>
      </c>
      <c r="D296" s="77">
        <v>6.9000000000000006E-2</v>
      </c>
      <c r="E296" s="77">
        <v>7.4166700000000002E-2</v>
      </c>
    </row>
    <row r="297" spans="1:5" x14ac:dyDescent="0.3">
      <c r="A297" s="97">
        <v>43243</v>
      </c>
      <c r="B297" s="77">
        <v>6.3200000000000006E-2</v>
      </c>
      <c r="C297" s="77">
        <v>6.6750000000000004E-2</v>
      </c>
      <c r="D297" s="77">
        <v>6.9000000000000006E-2</v>
      </c>
      <c r="E297" s="77">
        <v>7.4166700000000002E-2</v>
      </c>
    </row>
    <row r="298" spans="1:5" x14ac:dyDescent="0.3">
      <c r="A298" s="97">
        <v>43244</v>
      </c>
      <c r="B298" s="77">
        <v>6.3200000000000006E-2</v>
      </c>
      <c r="C298" s="77">
        <v>6.6750000000000004E-2</v>
      </c>
      <c r="D298" s="77">
        <v>6.9000000000000006E-2</v>
      </c>
      <c r="E298" s="77">
        <v>7.4166700000000002E-2</v>
      </c>
    </row>
    <row r="299" spans="1:5" x14ac:dyDescent="0.3">
      <c r="A299" s="97">
        <v>43245</v>
      </c>
      <c r="B299" s="77">
        <v>6.3099999999999989E-2</v>
      </c>
      <c r="C299" s="77">
        <v>6.6750000000000004E-2</v>
      </c>
      <c r="D299" s="77">
        <v>6.9000000000000006E-2</v>
      </c>
      <c r="E299" s="77">
        <v>7.4166700000000002E-2</v>
      </c>
    </row>
    <row r="300" spans="1:5" x14ac:dyDescent="0.3">
      <c r="A300" s="97">
        <v>43246</v>
      </c>
      <c r="B300" s="77">
        <v>0</v>
      </c>
      <c r="C300" s="77">
        <v>0</v>
      </c>
      <c r="D300" s="77">
        <v>0</v>
      </c>
      <c r="E300" s="77">
        <v>0</v>
      </c>
    </row>
    <row r="301" spans="1:5" x14ac:dyDescent="0.3">
      <c r="A301" s="97">
        <v>43247</v>
      </c>
      <c r="B301" s="77">
        <v>0</v>
      </c>
      <c r="C301" s="77">
        <v>0</v>
      </c>
      <c r="D301" s="77">
        <v>0</v>
      </c>
      <c r="E301" s="77">
        <v>0</v>
      </c>
    </row>
    <row r="302" spans="1:5" x14ac:dyDescent="0.3">
      <c r="A302" s="97">
        <v>43248</v>
      </c>
      <c r="B302" s="77">
        <v>6.3099999999999989E-2</v>
      </c>
      <c r="C302" s="77">
        <v>6.6750000000000004E-2</v>
      </c>
      <c r="D302" s="77">
        <v>6.9000000000000006E-2</v>
      </c>
      <c r="E302" s="77">
        <v>7.4166700000000002E-2</v>
      </c>
    </row>
    <row r="303" spans="1:5" x14ac:dyDescent="0.3">
      <c r="A303" s="97">
        <v>43249</v>
      </c>
      <c r="B303" s="77">
        <v>6.3099999999999989E-2</v>
      </c>
      <c r="C303" s="77">
        <v>6.6750000000000004E-2</v>
      </c>
      <c r="D303" s="77">
        <v>6.90833E-2</v>
      </c>
      <c r="E303" s="77">
        <v>7.4166700000000002E-2</v>
      </c>
    </row>
    <row r="304" spans="1:5" x14ac:dyDescent="0.3">
      <c r="A304" s="97">
        <v>43250</v>
      </c>
      <c r="B304" s="77">
        <v>6.3099999999999989E-2</v>
      </c>
      <c r="C304" s="77">
        <v>6.6750000000000004E-2</v>
      </c>
      <c r="D304" s="77">
        <v>6.90833E-2</v>
      </c>
      <c r="E304" s="77">
        <v>7.4249999999999997E-2</v>
      </c>
    </row>
    <row r="305" spans="1:5" x14ac:dyDescent="0.3">
      <c r="A305" s="97">
        <v>43251</v>
      </c>
      <c r="B305" s="77">
        <v>6.3099999999999989E-2</v>
      </c>
      <c r="C305" s="77">
        <v>6.6750000000000004E-2</v>
      </c>
      <c r="D305" s="77">
        <v>6.90833E-2</v>
      </c>
      <c r="E305" s="77">
        <v>7.4249999999999997E-2</v>
      </c>
    </row>
    <row r="306" spans="1:5" x14ac:dyDescent="0.3">
      <c r="A306" s="97">
        <v>43252</v>
      </c>
      <c r="B306" s="77">
        <v>6.3099999999999989E-2</v>
      </c>
      <c r="C306" s="77">
        <v>6.6750000000000004E-2</v>
      </c>
      <c r="D306" s="77">
        <v>6.90833E-2</v>
      </c>
      <c r="E306" s="77">
        <v>7.4249999999999997E-2</v>
      </c>
    </row>
    <row r="307" spans="1:5" x14ac:dyDescent="0.3">
      <c r="A307" s="97">
        <v>43253</v>
      </c>
      <c r="B307" s="77">
        <v>0</v>
      </c>
      <c r="C307" s="77">
        <v>0</v>
      </c>
      <c r="D307" s="77">
        <v>0</v>
      </c>
      <c r="E307" s="77">
        <v>0</v>
      </c>
    </row>
    <row r="308" spans="1:5" x14ac:dyDescent="0.3">
      <c r="A308" s="97">
        <v>43254</v>
      </c>
      <c r="B308" s="77">
        <v>0</v>
      </c>
      <c r="C308" s="77">
        <v>0</v>
      </c>
      <c r="D308" s="77">
        <v>0</v>
      </c>
      <c r="E308" s="77">
        <v>0</v>
      </c>
    </row>
    <row r="309" spans="1:5" x14ac:dyDescent="0.3">
      <c r="A309" s="97">
        <v>43255</v>
      </c>
      <c r="B309" s="77">
        <v>6.3099999999999989E-2</v>
      </c>
      <c r="C309" s="77">
        <v>6.6750000000000004E-2</v>
      </c>
      <c r="D309" s="77">
        <v>6.90833E-2</v>
      </c>
      <c r="E309" s="77">
        <v>7.4249999999999997E-2</v>
      </c>
    </row>
    <row r="310" spans="1:5" x14ac:dyDescent="0.3">
      <c r="A310" s="97">
        <v>43256</v>
      </c>
      <c r="B310" s="77">
        <v>6.3200000000000006E-2</v>
      </c>
      <c r="C310" s="77">
        <v>6.6750000000000004E-2</v>
      </c>
      <c r="D310" s="77">
        <v>6.90833E-2</v>
      </c>
      <c r="E310" s="77">
        <v>7.4166700000000002E-2</v>
      </c>
    </row>
    <row r="311" spans="1:5" x14ac:dyDescent="0.3">
      <c r="A311" s="97">
        <v>43257</v>
      </c>
      <c r="B311" s="77">
        <v>6.3200000000000006E-2</v>
      </c>
      <c r="C311" s="77">
        <v>6.6750000000000004E-2</v>
      </c>
      <c r="D311" s="77">
        <v>6.90833E-2</v>
      </c>
      <c r="E311" s="77">
        <v>7.4083299999999991E-2</v>
      </c>
    </row>
    <row r="312" spans="1:5" x14ac:dyDescent="0.3">
      <c r="A312" s="97">
        <v>43258</v>
      </c>
      <c r="B312" s="77">
        <v>6.3200000000000006E-2</v>
      </c>
      <c r="C312" s="77">
        <v>6.6750000000000004E-2</v>
      </c>
      <c r="D312" s="77">
        <v>6.90833E-2</v>
      </c>
      <c r="E312" s="77">
        <v>7.4083299999999991E-2</v>
      </c>
    </row>
    <row r="313" spans="1:5" x14ac:dyDescent="0.3">
      <c r="A313" s="97">
        <v>43259</v>
      </c>
      <c r="B313" s="77">
        <v>6.3200000000000006E-2</v>
      </c>
      <c r="C313" s="77">
        <v>6.6833299999999998E-2</v>
      </c>
      <c r="D313" s="77">
        <v>6.9166699999999998E-2</v>
      </c>
      <c r="E313" s="77">
        <v>7.4333299999999991E-2</v>
      </c>
    </row>
    <row r="314" spans="1:5" x14ac:dyDescent="0.3">
      <c r="A314" s="97">
        <v>43260</v>
      </c>
      <c r="B314" s="77">
        <v>0</v>
      </c>
      <c r="C314" s="77">
        <v>0</v>
      </c>
      <c r="D314" s="77">
        <v>0</v>
      </c>
      <c r="E314" s="77">
        <v>0</v>
      </c>
    </row>
    <row r="315" spans="1:5" x14ac:dyDescent="0.3">
      <c r="A315" s="97">
        <v>43261</v>
      </c>
      <c r="B315" s="77">
        <v>0</v>
      </c>
      <c r="C315" s="77">
        <v>0</v>
      </c>
      <c r="D315" s="77">
        <v>0</v>
      </c>
      <c r="E315" s="77">
        <v>0</v>
      </c>
    </row>
    <row r="316" spans="1:5" x14ac:dyDescent="0.3">
      <c r="A316" s="97">
        <v>43262</v>
      </c>
      <c r="B316" s="77">
        <v>6.3200000000000006E-2</v>
      </c>
      <c r="C316" s="77">
        <v>6.6833299999999998E-2</v>
      </c>
      <c r="D316" s="77">
        <v>6.9166699999999998E-2</v>
      </c>
      <c r="E316" s="77">
        <v>7.4416700000000002E-2</v>
      </c>
    </row>
    <row r="317" spans="1:5" x14ac:dyDescent="0.3">
      <c r="A317" s="97">
        <v>43263</v>
      </c>
      <c r="B317" s="77">
        <v>6.3200000000000006E-2</v>
      </c>
      <c r="C317" s="77">
        <v>6.6916699999999996E-2</v>
      </c>
      <c r="D317" s="77">
        <v>6.9166699999999998E-2</v>
      </c>
      <c r="E317" s="77">
        <v>7.4583300000000005E-2</v>
      </c>
    </row>
    <row r="318" spans="1:5" x14ac:dyDescent="0.3">
      <c r="A318" s="97">
        <v>43264</v>
      </c>
      <c r="B318" s="77">
        <v>6.3200000000000006E-2</v>
      </c>
      <c r="C318" s="77">
        <v>6.6916699999999996E-2</v>
      </c>
      <c r="D318" s="77">
        <v>6.9166699999999998E-2</v>
      </c>
      <c r="E318" s="77">
        <v>7.4416700000000002E-2</v>
      </c>
    </row>
    <row r="319" spans="1:5" x14ac:dyDescent="0.3">
      <c r="A319" s="97">
        <v>43265</v>
      </c>
      <c r="B319" s="77">
        <v>6.3200000000000006E-2</v>
      </c>
      <c r="C319" s="77">
        <v>6.6916699999999996E-2</v>
      </c>
      <c r="D319" s="77">
        <v>6.9166699999999998E-2</v>
      </c>
      <c r="E319" s="77">
        <v>7.4416700000000002E-2</v>
      </c>
    </row>
    <row r="320" spans="1:5" x14ac:dyDescent="0.3">
      <c r="A320" s="97">
        <v>43266</v>
      </c>
      <c r="B320" s="77">
        <v>6.3200000000000006E-2</v>
      </c>
      <c r="C320" s="77">
        <v>6.6916699999999996E-2</v>
      </c>
      <c r="D320" s="77">
        <v>6.9166699999999998E-2</v>
      </c>
      <c r="E320" s="77">
        <v>7.4416700000000002E-2</v>
      </c>
    </row>
    <row r="321" spans="1:5" x14ac:dyDescent="0.3">
      <c r="A321" s="97">
        <v>43267</v>
      </c>
      <c r="B321" s="77">
        <v>0</v>
      </c>
      <c r="C321" s="77">
        <v>0</v>
      </c>
      <c r="D321" s="77">
        <v>0</v>
      </c>
      <c r="E321" s="77">
        <v>0</v>
      </c>
    </row>
    <row r="322" spans="1:5" x14ac:dyDescent="0.3">
      <c r="A322" s="97">
        <v>43268</v>
      </c>
      <c r="B322" s="77">
        <v>0</v>
      </c>
      <c r="C322" s="77">
        <v>0</v>
      </c>
      <c r="D322" s="77">
        <v>0</v>
      </c>
      <c r="E322" s="77">
        <v>0</v>
      </c>
    </row>
    <row r="323" spans="1:5" x14ac:dyDescent="0.3">
      <c r="A323" s="97">
        <v>43269</v>
      </c>
      <c r="B323" s="77">
        <v>6.3200000000000006E-2</v>
      </c>
      <c r="C323" s="77">
        <v>6.7000000000000004E-2</v>
      </c>
      <c r="D323" s="77">
        <v>6.9249999999999992E-2</v>
      </c>
      <c r="E323" s="77">
        <v>7.4416700000000002E-2</v>
      </c>
    </row>
    <row r="324" spans="1:5" x14ac:dyDescent="0.3">
      <c r="A324" s="97">
        <v>43270</v>
      </c>
      <c r="B324" s="77">
        <v>6.3099999999999989E-2</v>
      </c>
      <c r="C324" s="77">
        <v>6.7000000000000004E-2</v>
      </c>
      <c r="D324" s="77">
        <v>6.9249999999999992E-2</v>
      </c>
      <c r="E324" s="77">
        <v>7.4333299999999991E-2</v>
      </c>
    </row>
    <row r="325" spans="1:5" x14ac:dyDescent="0.3">
      <c r="A325" s="97">
        <v>43271</v>
      </c>
      <c r="B325" s="77">
        <v>6.3099999999999989E-2</v>
      </c>
      <c r="C325" s="77">
        <v>6.7083299999999998E-2</v>
      </c>
      <c r="D325" s="77">
        <v>6.9249999999999992E-2</v>
      </c>
      <c r="E325" s="77">
        <v>7.4333299999999991E-2</v>
      </c>
    </row>
    <row r="326" spans="1:5" x14ac:dyDescent="0.3">
      <c r="A326" s="97">
        <v>43272</v>
      </c>
      <c r="B326" s="77">
        <v>6.3099999999999989E-2</v>
      </c>
      <c r="C326" s="77">
        <v>6.7083299999999998E-2</v>
      </c>
      <c r="D326" s="77">
        <v>6.93333E-2</v>
      </c>
      <c r="E326" s="77">
        <v>7.4333299999999991E-2</v>
      </c>
    </row>
    <row r="327" spans="1:5" x14ac:dyDescent="0.3">
      <c r="A327" s="97">
        <v>43273</v>
      </c>
      <c r="B327" s="77">
        <v>6.3099999999999989E-2</v>
      </c>
      <c r="C327" s="77">
        <v>6.7083299999999998E-2</v>
      </c>
      <c r="D327" s="77">
        <v>6.93333E-2</v>
      </c>
      <c r="E327" s="77">
        <v>7.4333299999999991E-2</v>
      </c>
    </row>
    <row r="328" spans="1:5" x14ac:dyDescent="0.3">
      <c r="A328" s="97">
        <v>43274</v>
      </c>
      <c r="B328" s="77">
        <v>0</v>
      </c>
      <c r="C328" s="77">
        <v>0</v>
      </c>
      <c r="D328" s="77">
        <v>0</v>
      </c>
      <c r="E328" s="77">
        <v>0</v>
      </c>
    </row>
    <row r="329" spans="1:5" x14ac:dyDescent="0.3">
      <c r="A329" s="97">
        <v>43275</v>
      </c>
      <c r="B329" s="77">
        <v>0</v>
      </c>
      <c r="C329" s="77">
        <v>0</v>
      </c>
      <c r="D329" s="77">
        <v>0</v>
      </c>
      <c r="E329" s="77">
        <v>0</v>
      </c>
    </row>
    <row r="330" spans="1:5" x14ac:dyDescent="0.3">
      <c r="A330" s="97">
        <v>43276</v>
      </c>
      <c r="B330" s="77">
        <v>6.3099999999999989E-2</v>
      </c>
      <c r="C330" s="77">
        <v>6.7083299999999998E-2</v>
      </c>
      <c r="D330" s="77">
        <v>6.9416699999999998E-2</v>
      </c>
      <c r="E330" s="77">
        <v>7.4416700000000002E-2</v>
      </c>
    </row>
    <row r="331" spans="1:5" x14ac:dyDescent="0.3">
      <c r="A331" s="97">
        <v>43277</v>
      </c>
      <c r="B331" s="77">
        <v>6.3099999999999989E-2</v>
      </c>
      <c r="C331" s="77">
        <v>6.7333299999999999E-2</v>
      </c>
      <c r="D331" s="77">
        <v>6.9583300000000001E-2</v>
      </c>
      <c r="E331" s="77">
        <v>7.4416700000000002E-2</v>
      </c>
    </row>
    <row r="332" spans="1:5" x14ac:dyDescent="0.3">
      <c r="A332" s="97">
        <v>43278</v>
      </c>
      <c r="B332" s="77">
        <v>6.3099999999999989E-2</v>
      </c>
      <c r="C332" s="77">
        <v>6.7333299999999999E-2</v>
      </c>
      <c r="D332" s="77">
        <v>6.9583300000000001E-2</v>
      </c>
      <c r="E332" s="77">
        <v>7.4333299999999991E-2</v>
      </c>
    </row>
    <row r="333" spans="1:5" x14ac:dyDescent="0.3">
      <c r="A333" s="97">
        <v>43279</v>
      </c>
      <c r="B333" s="77">
        <v>6.3099999999999989E-2</v>
      </c>
      <c r="C333" s="77">
        <v>6.7333299999999999E-2</v>
      </c>
      <c r="D333" s="77">
        <v>6.9583300000000001E-2</v>
      </c>
      <c r="E333" s="77">
        <v>7.4416700000000002E-2</v>
      </c>
    </row>
    <row r="334" spans="1:5" x14ac:dyDescent="0.3">
      <c r="A334" s="97">
        <v>43280</v>
      </c>
      <c r="B334" s="77">
        <v>6.3099999999999989E-2</v>
      </c>
      <c r="C334" s="77">
        <v>6.7333299999999999E-2</v>
      </c>
      <c r="D334" s="77">
        <v>6.9583300000000001E-2</v>
      </c>
      <c r="E334" s="77">
        <v>7.4416700000000002E-2</v>
      </c>
    </row>
    <row r="335" spans="1:5" x14ac:dyDescent="0.3">
      <c r="A335" s="97">
        <v>43281</v>
      </c>
      <c r="B335" s="77">
        <v>0</v>
      </c>
      <c r="C335" s="77">
        <v>0</v>
      </c>
      <c r="D335" s="77">
        <v>0</v>
      </c>
      <c r="E335" s="77">
        <v>0</v>
      </c>
    </row>
    <row r="336" spans="1:5" x14ac:dyDescent="0.3">
      <c r="A336" s="97">
        <v>43282</v>
      </c>
      <c r="B336" s="77">
        <v>0</v>
      </c>
      <c r="C336" s="77">
        <v>0</v>
      </c>
      <c r="D336" s="77">
        <v>0</v>
      </c>
      <c r="E336" s="77">
        <v>0</v>
      </c>
    </row>
    <row r="337" spans="1:5" x14ac:dyDescent="0.3">
      <c r="A337" s="97">
        <v>43283</v>
      </c>
      <c r="B337" s="77">
        <v>6.3099999999999989E-2</v>
      </c>
      <c r="C337" s="77">
        <v>6.7333299999999999E-2</v>
      </c>
      <c r="D337" s="77">
        <v>6.9583300000000001E-2</v>
      </c>
      <c r="E337" s="77">
        <v>7.4916700000000003E-2</v>
      </c>
    </row>
    <row r="338" spans="1:5" x14ac:dyDescent="0.3">
      <c r="A338" s="97">
        <v>43284</v>
      </c>
      <c r="B338" s="77">
        <v>6.3099999999999989E-2</v>
      </c>
      <c r="C338" s="77">
        <v>6.7333299999999999E-2</v>
      </c>
      <c r="D338" s="77">
        <v>6.9583300000000001E-2</v>
      </c>
      <c r="E338" s="77">
        <v>7.4916700000000003E-2</v>
      </c>
    </row>
    <row r="339" spans="1:5" x14ac:dyDescent="0.3">
      <c r="A339" s="97">
        <v>43285</v>
      </c>
      <c r="B339" s="77">
        <v>6.3099999999999989E-2</v>
      </c>
      <c r="C339" s="77">
        <v>6.7333299999999999E-2</v>
      </c>
      <c r="D339" s="77">
        <v>6.9583300000000001E-2</v>
      </c>
      <c r="E339" s="77">
        <v>7.4916700000000003E-2</v>
      </c>
    </row>
    <row r="340" spans="1:5" x14ac:dyDescent="0.3">
      <c r="A340" s="97">
        <v>43286</v>
      </c>
      <c r="B340" s="77">
        <v>6.3099999999999989E-2</v>
      </c>
      <c r="C340" s="77">
        <v>6.7333299999999999E-2</v>
      </c>
      <c r="D340" s="77">
        <v>6.9583300000000001E-2</v>
      </c>
      <c r="E340" s="77">
        <v>7.5249999999999997E-2</v>
      </c>
    </row>
    <row r="341" spans="1:5" x14ac:dyDescent="0.3">
      <c r="A341" s="97">
        <v>43287</v>
      </c>
      <c r="B341" s="77">
        <v>6.3099999999999989E-2</v>
      </c>
      <c r="C341" s="77">
        <v>6.7333299999999999E-2</v>
      </c>
      <c r="D341" s="77">
        <v>6.9583300000000001E-2</v>
      </c>
      <c r="E341" s="77">
        <v>7.5249999999999997E-2</v>
      </c>
    </row>
    <row r="342" spans="1:5" x14ac:dyDescent="0.3">
      <c r="A342" s="97">
        <v>43288</v>
      </c>
      <c r="B342" s="77">
        <v>0</v>
      </c>
      <c r="C342" s="77">
        <v>0</v>
      </c>
      <c r="D342" s="77">
        <v>0</v>
      </c>
      <c r="E342" s="77">
        <v>0</v>
      </c>
    </row>
    <row r="343" spans="1:5" x14ac:dyDescent="0.3">
      <c r="A343" s="97">
        <v>43289</v>
      </c>
      <c r="B343" s="77">
        <v>0</v>
      </c>
      <c r="C343" s="77">
        <v>0</v>
      </c>
      <c r="D343" s="77">
        <v>0</v>
      </c>
      <c r="E343" s="77">
        <v>0</v>
      </c>
    </row>
    <row r="344" spans="1:5" x14ac:dyDescent="0.3">
      <c r="A344" s="97">
        <v>43290</v>
      </c>
      <c r="B344" s="77">
        <v>6.3099999999999989E-2</v>
      </c>
      <c r="C344" s="77">
        <v>6.7333299999999999E-2</v>
      </c>
      <c r="D344" s="77">
        <v>6.9583300000000001E-2</v>
      </c>
      <c r="E344" s="77">
        <v>7.5249999999999997E-2</v>
      </c>
    </row>
    <row r="345" spans="1:5" x14ac:dyDescent="0.3">
      <c r="A345" s="97">
        <v>43291</v>
      </c>
      <c r="B345" s="77">
        <v>6.3099999999999989E-2</v>
      </c>
      <c r="C345" s="77">
        <v>6.7333299999999999E-2</v>
      </c>
      <c r="D345" s="77">
        <v>6.9583300000000001E-2</v>
      </c>
      <c r="E345" s="77">
        <v>7.5166700000000003E-2</v>
      </c>
    </row>
    <row r="346" spans="1:5" x14ac:dyDescent="0.3">
      <c r="A346" s="97">
        <v>43292</v>
      </c>
      <c r="B346" s="77">
        <v>6.3099999999999989E-2</v>
      </c>
      <c r="C346" s="77">
        <v>6.7333299999999999E-2</v>
      </c>
      <c r="D346" s="77">
        <v>6.9583300000000001E-2</v>
      </c>
      <c r="E346" s="77">
        <v>7.5166700000000003E-2</v>
      </c>
    </row>
    <row r="347" spans="1:5" x14ac:dyDescent="0.3">
      <c r="A347" s="97">
        <v>43293</v>
      </c>
      <c r="B347" s="77">
        <v>6.3099999999999989E-2</v>
      </c>
      <c r="C347" s="77">
        <v>6.7333299999999999E-2</v>
      </c>
      <c r="D347" s="77">
        <v>6.9583300000000001E-2</v>
      </c>
      <c r="E347" s="77">
        <v>7.5249999999999997E-2</v>
      </c>
    </row>
    <row r="348" spans="1:5" x14ac:dyDescent="0.3">
      <c r="A348" s="97">
        <v>43294</v>
      </c>
      <c r="B348" s="77">
        <v>6.3099999999999989E-2</v>
      </c>
      <c r="C348" s="77">
        <v>6.7333299999999999E-2</v>
      </c>
      <c r="D348" s="77">
        <v>6.9583300000000001E-2</v>
      </c>
      <c r="E348" s="77">
        <v>7.5249999999999997E-2</v>
      </c>
    </row>
    <row r="349" spans="1:5" x14ac:dyDescent="0.3">
      <c r="A349" s="97">
        <v>43295</v>
      </c>
      <c r="B349" s="77">
        <v>0</v>
      </c>
      <c r="C349" s="77">
        <v>0</v>
      </c>
      <c r="D349" s="77">
        <v>0</v>
      </c>
      <c r="E349" s="77">
        <v>0</v>
      </c>
    </row>
    <row r="350" spans="1:5" x14ac:dyDescent="0.3">
      <c r="A350" s="97">
        <v>43296</v>
      </c>
      <c r="B350" s="77">
        <v>0</v>
      </c>
      <c r="C350" s="77">
        <v>0</v>
      </c>
      <c r="D350" s="77">
        <v>0</v>
      </c>
      <c r="E350" s="77">
        <v>0</v>
      </c>
    </row>
    <row r="351" spans="1:5" x14ac:dyDescent="0.3">
      <c r="A351" s="97">
        <v>43297</v>
      </c>
      <c r="B351" s="77">
        <v>6.3099999999999989E-2</v>
      </c>
      <c r="C351" s="77">
        <v>6.7333299999999999E-2</v>
      </c>
      <c r="D351" s="77">
        <v>6.9583300000000001E-2</v>
      </c>
      <c r="E351" s="77">
        <v>7.5166700000000003E-2</v>
      </c>
    </row>
    <row r="352" spans="1:5" x14ac:dyDescent="0.3">
      <c r="A352" s="97">
        <v>43298</v>
      </c>
      <c r="B352" s="77">
        <v>6.3099999999999989E-2</v>
      </c>
      <c r="C352" s="77">
        <v>6.7333299999999999E-2</v>
      </c>
      <c r="D352" s="77">
        <v>6.9583300000000001E-2</v>
      </c>
      <c r="E352" s="77">
        <v>7.5166700000000003E-2</v>
      </c>
    </row>
    <row r="353" spans="1:5" x14ac:dyDescent="0.3">
      <c r="A353" s="97">
        <v>43299</v>
      </c>
      <c r="B353" s="77">
        <v>6.3099999999999989E-2</v>
      </c>
      <c r="C353" s="77">
        <v>6.7333299999999999E-2</v>
      </c>
      <c r="D353" s="77">
        <v>6.9583300000000001E-2</v>
      </c>
      <c r="E353" s="77">
        <v>7.5166700000000003E-2</v>
      </c>
    </row>
    <row r="354" spans="1:5" x14ac:dyDescent="0.3">
      <c r="A354" s="97">
        <v>43300</v>
      </c>
      <c r="B354" s="77">
        <v>6.3099999999999989E-2</v>
      </c>
      <c r="C354" s="77">
        <v>6.7333299999999999E-2</v>
      </c>
      <c r="D354" s="77">
        <v>6.9583300000000001E-2</v>
      </c>
      <c r="E354" s="77">
        <v>7.5166700000000003E-2</v>
      </c>
    </row>
    <row r="355" spans="1:5" x14ac:dyDescent="0.3">
      <c r="A355" s="97">
        <v>43301</v>
      </c>
      <c r="B355" s="77">
        <v>6.3099999999999989E-2</v>
      </c>
      <c r="C355" s="77">
        <v>6.7333299999999999E-2</v>
      </c>
      <c r="D355" s="77">
        <v>6.9583300000000001E-2</v>
      </c>
      <c r="E355" s="77">
        <v>7.5166700000000003E-2</v>
      </c>
    </row>
    <row r="356" spans="1:5" x14ac:dyDescent="0.3">
      <c r="A356" s="97">
        <v>43302</v>
      </c>
      <c r="B356" s="77">
        <v>0</v>
      </c>
      <c r="C356" s="77">
        <v>0</v>
      </c>
      <c r="D356" s="77">
        <v>0</v>
      </c>
      <c r="E356" s="77">
        <v>0</v>
      </c>
    </row>
    <row r="357" spans="1:5" x14ac:dyDescent="0.3">
      <c r="A357" s="97">
        <v>43303</v>
      </c>
      <c r="B357" s="77">
        <v>0</v>
      </c>
      <c r="C357" s="77">
        <v>0</v>
      </c>
      <c r="D357" s="77">
        <v>0</v>
      </c>
      <c r="E357" s="77">
        <v>0</v>
      </c>
    </row>
    <row r="358" spans="1:5" x14ac:dyDescent="0.3">
      <c r="A358" s="97">
        <v>43304</v>
      </c>
      <c r="B358" s="77">
        <v>6.3099999999999989E-2</v>
      </c>
      <c r="C358" s="77">
        <v>6.7333299999999999E-2</v>
      </c>
      <c r="D358" s="77">
        <v>6.9583300000000001E-2</v>
      </c>
      <c r="E358" s="77">
        <v>7.5249999999999997E-2</v>
      </c>
    </row>
    <row r="359" spans="1:5" x14ac:dyDescent="0.3">
      <c r="A359" s="97">
        <v>43305</v>
      </c>
      <c r="B359" s="77">
        <v>6.3099999999999989E-2</v>
      </c>
      <c r="C359" s="77">
        <v>6.7333299999999999E-2</v>
      </c>
      <c r="D359" s="77">
        <v>6.9583300000000001E-2</v>
      </c>
      <c r="E359" s="77">
        <v>7.5249999999999997E-2</v>
      </c>
    </row>
    <row r="360" spans="1:5" x14ac:dyDescent="0.3">
      <c r="A360" s="97">
        <v>43306</v>
      </c>
      <c r="B360" s="77">
        <v>6.3099999999999989E-2</v>
      </c>
      <c r="C360" s="77">
        <v>6.7333299999999999E-2</v>
      </c>
      <c r="D360" s="77">
        <v>6.9666700000000012E-2</v>
      </c>
      <c r="E360" s="77">
        <v>7.5166700000000003E-2</v>
      </c>
    </row>
    <row r="361" spans="1:5" x14ac:dyDescent="0.3">
      <c r="A361" s="97">
        <v>43307</v>
      </c>
      <c r="B361" s="77">
        <v>6.3099999999999989E-2</v>
      </c>
      <c r="C361" s="77">
        <v>6.7333299999999999E-2</v>
      </c>
      <c r="D361" s="77">
        <v>6.9666700000000012E-2</v>
      </c>
      <c r="E361" s="77">
        <v>7.5166700000000003E-2</v>
      </c>
    </row>
    <row r="362" spans="1:5" x14ac:dyDescent="0.3">
      <c r="A362" s="97">
        <v>43308</v>
      </c>
      <c r="B362" s="77">
        <v>6.3099999999999989E-2</v>
      </c>
      <c r="C362" s="77">
        <v>6.7333299999999999E-2</v>
      </c>
      <c r="D362" s="77">
        <v>6.9666700000000012E-2</v>
      </c>
      <c r="E362" s="77">
        <v>7.5166700000000003E-2</v>
      </c>
    </row>
    <row r="363" spans="1:5" x14ac:dyDescent="0.3">
      <c r="A363" s="97">
        <v>43309</v>
      </c>
      <c r="B363" s="77">
        <v>0</v>
      </c>
      <c r="C363" s="77">
        <v>0</v>
      </c>
      <c r="D363" s="77">
        <v>0</v>
      </c>
      <c r="E363" s="77">
        <v>0</v>
      </c>
    </row>
    <row r="364" spans="1:5" x14ac:dyDescent="0.3">
      <c r="A364" s="97">
        <v>43310</v>
      </c>
      <c r="B364" s="77">
        <v>0</v>
      </c>
      <c r="C364" s="77">
        <v>0</v>
      </c>
      <c r="D364" s="77">
        <v>0</v>
      </c>
      <c r="E364" s="77">
        <v>0</v>
      </c>
    </row>
    <row r="365" spans="1:5" x14ac:dyDescent="0.3">
      <c r="A365" s="97">
        <v>43311</v>
      </c>
      <c r="B365" s="77">
        <v>6.3099999999999989E-2</v>
      </c>
      <c r="C365" s="77">
        <v>6.7333299999999999E-2</v>
      </c>
      <c r="D365" s="77">
        <v>6.9666700000000012E-2</v>
      </c>
      <c r="E365" s="77">
        <v>7.5166700000000003E-2</v>
      </c>
    </row>
    <row r="366" spans="1:5" x14ac:dyDescent="0.3">
      <c r="A366" s="97">
        <v>43312</v>
      </c>
      <c r="B366" s="77">
        <v>6.3099999999999989E-2</v>
      </c>
      <c r="C366" s="77">
        <v>6.7333299999999999E-2</v>
      </c>
      <c r="D366" s="77">
        <v>6.9666700000000012E-2</v>
      </c>
      <c r="E366" s="77">
        <v>7.5166700000000003E-2</v>
      </c>
    </row>
    <row r="367" spans="1:5" x14ac:dyDescent="0.3">
      <c r="A367" s="97">
        <v>43313</v>
      </c>
      <c r="B367" s="77">
        <v>6.3099999999999989E-2</v>
      </c>
      <c r="C367" s="77">
        <v>6.7333299999999999E-2</v>
      </c>
      <c r="D367" s="77">
        <v>6.9666700000000012E-2</v>
      </c>
      <c r="E367" s="77">
        <v>7.5166700000000003E-2</v>
      </c>
    </row>
    <row r="368" spans="1:5" x14ac:dyDescent="0.3">
      <c r="A368" s="97">
        <v>43314</v>
      </c>
      <c r="B368" s="77">
        <v>6.3200000000000006E-2</v>
      </c>
      <c r="C368" s="77">
        <v>6.7333299999999999E-2</v>
      </c>
      <c r="D368" s="77">
        <v>6.9666700000000012E-2</v>
      </c>
      <c r="E368" s="77">
        <v>7.5166700000000003E-2</v>
      </c>
    </row>
    <row r="369" spans="1:5" x14ac:dyDescent="0.3">
      <c r="A369" s="97">
        <v>43315</v>
      </c>
      <c r="B369" s="77">
        <v>6.3099999999999989E-2</v>
      </c>
      <c r="C369" s="77">
        <v>6.7333299999999999E-2</v>
      </c>
      <c r="D369" s="77">
        <v>6.9666700000000012E-2</v>
      </c>
      <c r="E369" s="77">
        <v>7.5249999999999997E-2</v>
      </c>
    </row>
    <row r="370" spans="1:5" x14ac:dyDescent="0.3">
      <c r="A370" s="97">
        <v>43316</v>
      </c>
      <c r="B370" s="77">
        <v>0</v>
      </c>
      <c r="C370" s="77">
        <v>0</v>
      </c>
      <c r="D370" s="77">
        <v>0</v>
      </c>
      <c r="E370" s="77">
        <v>0</v>
      </c>
    </row>
    <row r="371" spans="1:5" x14ac:dyDescent="0.3">
      <c r="A371" s="97">
        <v>43317</v>
      </c>
      <c r="B371" s="77">
        <v>0</v>
      </c>
      <c r="C371" s="77">
        <v>0</v>
      </c>
      <c r="D371" s="77">
        <v>0</v>
      </c>
      <c r="E371" s="77">
        <v>0</v>
      </c>
    </row>
    <row r="372" spans="1:5" x14ac:dyDescent="0.3">
      <c r="A372" s="97">
        <v>43318</v>
      </c>
      <c r="B372" s="77">
        <v>6.3099999999999989E-2</v>
      </c>
      <c r="C372" s="77">
        <v>6.7333299999999999E-2</v>
      </c>
      <c r="D372" s="77">
        <v>6.9666700000000012E-2</v>
      </c>
      <c r="E372" s="77">
        <v>7.5249999999999997E-2</v>
      </c>
    </row>
    <row r="373" spans="1:5" x14ac:dyDescent="0.3">
      <c r="A373" s="97">
        <v>43319</v>
      </c>
      <c r="B373" s="77">
        <v>6.3099999999999989E-2</v>
      </c>
      <c r="C373" s="77">
        <v>6.7333299999999999E-2</v>
      </c>
      <c r="D373" s="77">
        <v>6.9749999999999993E-2</v>
      </c>
      <c r="E373" s="77">
        <v>7.5249999999999997E-2</v>
      </c>
    </row>
    <row r="374" spans="1:5" x14ac:dyDescent="0.3">
      <c r="A374" s="97">
        <v>43320</v>
      </c>
      <c r="B374" s="77">
        <v>6.3099999999999989E-2</v>
      </c>
      <c r="C374" s="77">
        <v>6.7333299999999999E-2</v>
      </c>
      <c r="D374" s="77">
        <v>6.9749999999999993E-2</v>
      </c>
      <c r="E374" s="77">
        <v>7.5249999999999997E-2</v>
      </c>
    </row>
    <row r="375" spans="1:5" x14ac:dyDescent="0.3">
      <c r="A375" s="97">
        <v>43321</v>
      </c>
      <c r="B375" s="77">
        <v>0</v>
      </c>
      <c r="C375" s="77">
        <v>0</v>
      </c>
      <c r="D375" s="77">
        <v>0</v>
      </c>
      <c r="E375" s="77">
        <v>0</v>
      </c>
    </row>
    <row r="376" spans="1:5" x14ac:dyDescent="0.3">
      <c r="A376" s="97">
        <v>43322</v>
      </c>
      <c r="B376" s="77">
        <v>6.3099999999999989E-2</v>
      </c>
      <c r="C376" s="77">
        <v>6.7333299999999999E-2</v>
      </c>
      <c r="D376" s="77">
        <v>6.9749999999999993E-2</v>
      </c>
      <c r="E376" s="77">
        <v>7.5416700000000003E-2</v>
      </c>
    </row>
    <row r="377" spans="1:5" x14ac:dyDescent="0.3">
      <c r="A377" s="97">
        <v>43323</v>
      </c>
      <c r="B377" s="77">
        <v>0</v>
      </c>
      <c r="C377" s="77">
        <v>0</v>
      </c>
      <c r="D377" s="77">
        <v>0</v>
      </c>
      <c r="E377" s="77">
        <v>0</v>
      </c>
    </row>
    <row r="378" spans="1:5" x14ac:dyDescent="0.3">
      <c r="A378" s="97">
        <v>43324</v>
      </c>
      <c r="B378" s="77">
        <v>0</v>
      </c>
      <c r="C378" s="77">
        <v>0</v>
      </c>
      <c r="D378" s="77">
        <v>0</v>
      </c>
      <c r="E378" s="77">
        <v>0</v>
      </c>
    </row>
    <row r="379" spans="1:5" x14ac:dyDescent="0.3">
      <c r="A379" s="97">
        <v>43325</v>
      </c>
      <c r="B379" s="77">
        <v>6.3200000000000006E-2</v>
      </c>
      <c r="C379" s="77">
        <v>6.7416699999999996E-2</v>
      </c>
      <c r="D379" s="77">
        <v>7.0000000000000007E-2</v>
      </c>
      <c r="E379" s="77">
        <v>7.5666700000000003E-2</v>
      </c>
    </row>
    <row r="380" spans="1:5" x14ac:dyDescent="0.3">
      <c r="A380" s="97">
        <v>43326</v>
      </c>
      <c r="B380" s="77">
        <v>6.3099999999999989E-2</v>
      </c>
      <c r="C380" s="77">
        <v>6.7416699999999996E-2</v>
      </c>
      <c r="D380" s="77">
        <v>7.0166699999999999E-2</v>
      </c>
      <c r="E380" s="77">
        <v>7.5833300000000006E-2</v>
      </c>
    </row>
    <row r="381" spans="1:5" x14ac:dyDescent="0.3">
      <c r="A381" s="97">
        <v>43327</v>
      </c>
      <c r="B381" s="77">
        <v>6.3099999999999989E-2</v>
      </c>
      <c r="C381" s="77">
        <v>6.7416699999999996E-2</v>
      </c>
      <c r="D381" s="77">
        <v>7.0083300000000001E-2</v>
      </c>
      <c r="E381" s="77">
        <v>7.5833300000000006E-2</v>
      </c>
    </row>
    <row r="382" spans="1:5" x14ac:dyDescent="0.3">
      <c r="A382" s="97">
        <v>43328</v>
      </c>
      <c r="B382" s="77">
        <v>6.3500000000000001E-2</v>
      </c>
      <c r="C382" s="77">
        <v>6.7416699999999996E-2</v>
      </c>
      <c r="D382" s="77">
        <v>7.0083300000000001E-2</v>
      </c>
      <c r="E382" s="77">
        <v>7.5833300000000006E-2</v>
      </c>
    </row>
    <row r="383" spans="1:5" x14ac:dyDescent="0.3">
      <c r="A383" s="97">
        <v>43329</v>
      </c>
      <c r="B383" s="77">
        <v>6.3500000000000001E-2</v>
      </c>
      <c r="C383" s="77">
        <v>6.7500000000000004E-2</v>
      </c>
      <c r="D383" s="77">
        <v>7.0166699999999999E-2</v>
      </c>
      <c r="E383" s="77">
        <v>7.5999999999999998E-2</v>
      </c>
    </row>
    <row r="384" spans="1:5" x14ac:dyDescent="0.3">
      <c r="A384" s="97">
        <v>43330</v>
      </c>
      <c r="B384" s="77">
        <v>0</v>
      </c>
      <c r="C384" s="77">
        <v>0</v>
      </c>
      <c r="D384" s="77">
        <v>0</v>
      </c>
      <c r="E384" s="77">
        <v>0</v>
      </c>
    </row>
    <row r="385" spans="1:5" x14ac:dyDescent="0.3">
      <c r="A385" s="97">
        <v>43331</v>
      </c>
      <c r="B385" s="77">
        <v>0</v>
      </c>
      <c r="C385" s="77">
        <v>0</v>
      </c>
      <c r="D385" s="77">
        <v>0</v>
      </c>
      <c r="E385" s="77">
        <v>0</v>
      </c>
    </row>
    <row r="386" spans="1:5" x14ac:dyDescent="0.3">
      <c r="A386" s="97">
        <v>43332</v>
      </c>
      <c r="B386" s="77">
        <v>6.3500000000000001E-2</v>
      </c>
      <c r="C386" s="77">
        <v>6.7500000000000004E-2</v>
      </c>
      <c r="D386" s="77">
        <v>7.0166699999999999E-2</v>
      </c>
      <c r="E386" s="77">
        <v>7.6249999999999998E-2</v>
      </c>
    </row>
    <row r="387" spans="1:5" x14ac:dyDescent="0.3">
      <c r="A387" s="97">
        <v>43333</v>
      </c>
      <c r="B387" s="77">
        <v>6.3500000000000001E-2</v>
      </c>
      <c r="C387" s="77">
        <v>6.7500000000000004E-2</v>
      </c>
      <c r="D387" s="77">
        <v>7.0166699999999999E-2</v>
      </c>
      <c r="E387" s="77">
        <v>7.6249999999999998E-2</v>
      </c>
    </row>
    <row r="388" spans="1:5" x14ac:dyDescent="0.3">
      <c r="A388" s="97">
        <v>43334</v>
      </c>
      <c r="B388" s="77">
        <v>6.3399999999999998E-2</v>
      </c>
      <c r="C388" s="77">
        <v>6.7500000000000004E-2</v>
      </c>
      <c r="D388" s="77">
        <v>7.0166699999999999E-2</v>
      </c>
      <c r="E388" s="77">
        <v>7.6249999999999998E-2</v>
      </c>
    </row>
    <row r="389" spans="1:5" x14ac:dyDescent="0.3">
      <c r="A389" s="97">
        <v>43335</v>
      </c>
      <c r="B389" s="77">
        <v>6.3399999999999998E-2</v>
      </c>
      <c r="C389" s="77">
        <v>6.7500000000000004E-2</v>
      </c>
      <c r="D389" s="77">
        <v>7.0166699999999999E-2</v>
      </c>
      <c r="E389" s="77">
        <v>7.6333299999999993E-2</v>
      </c>
    </row>
    <row r="390" spans="1:5" x14ac:dyDescent="0.3">
      <c r="A390" s="97">
        <v>43336</v>
      </c>
      <c r="B390" s="77">
        <v>6.3500000000000001E-2</v>
      </c>
      <c r="C390" s="77">
        <v>6.7416699999999996E-2</v>
      </c>
      <c r="D390" s="77">
        <v>7.0083300000000001E-2</v>
      </c>
      <c r="E390" s="77">
        <v>7.6249999999999998E-2</v>
      </c>
    </row>
    <row r="391" spans="1:5" x14ac:dyDescent="0.3">
      <c r="A391" s="97">
        <v>43337</v>
      </c>
      <c r="B391" s="77">
        <v>0</v>
      </c>
      <c r="C391" s="77">
        <v>0</v>
      </c>
      <c r="D391" s="77">
        <v>0</v>
      </c>
      <c r="E391" s="77">
        <v>0</v>
      </c>
    </row>
    <row r="392" spans="1:5" x14ac:dyDescent="0.3">
      <c r="A392" s="97">
        <v>43338</v>
      </c>
      <c r="B392" s="77">
        <v>0</v>
      </c>
      <c r="C392" s="77">
        <v>0</v>
      </c>
      <c r="D392" s="77">
        <v>0</v>
      </c>
      <c r="E392" s="77">
        <v>0</v>
      </c>
    </row>
    <row r="393" spans="1:5" x14ac:dyDescent="0.3">
      <c r="A393" s="97">
        <v>43339</v>
      </c>
      <c r="B393" s="77">
        <v>6.3500000000000001E-2</v>
      </c>
      <c r="C393" s="77">
        <v>6.7416699999999996E-2</v>
      </c>
      <c r="D393" s="77">
        <v>7.0083300000000001E-2</v>
      </c>
      <c r="E393" s="77">
        <v>7.6249999999999998E-2</v>
      </c>
    </row>
    <row r="394" spans="1:5" x14ac:dyDescent="0.3">
      <c r="A394" s="97">
        <v>43340</v>
      </c>
      <c r="B394" s="77">
        <v>6.3500000000000001E-2</v>
      </c>
      <c r="C394" s="77">
        <v>6.7416699999999996E-2</v>
      </c>
      <c r="D394" s="77">
        <v>7.0083300000000001E-2</v>
      </c>
      <c r="E394" s="77">
        <v>7.6249999999999998E-2</v>
      </c>
    </row>
    <row r="395" spans="1:5" x14ac:dyDescent="0.3">
      <c r="A395" s="97">
        <v>43341</v>
      </c>
      <c r="B395" s="77">
        <v>6.3500000000000001E-2</v>
      </c>
      <c r="C395" s="77">
        <v>6.7416699999999996E-2</v>
      </c>
      <c r="D395" s="77">
        <v>7.0083300000000001E-2</v>
      </c>
      <c r="E395" s="77">
        <v>7.6249999999999998E-2</v>
      </c>
    </row>
    <row r="396" spans="1:5" x14ac:dyDescent="0.3">
      <c r="A396" s="97">
        <v>43342</v>
      </c>
      <c r="B396" s="77">
        <v>6.3500000000000001E-2</v>
      </c>
      <c r="C396" s="77">
        <v>6.7416699999999996E-2</v>
      </c>
      <c r="D396" s="77">
        <v>7.0083300000000001E-2</v>
      </c>
      <c r="E396" s="77">
        <v>7.6249999999999998E-2</v>
      </c>
    </row>
    <row r="397" spans="1:5" x14ac:dyDescent="0.3">
      <c r="A397" s="97">
        <v>43343</v>
      </c>
      <c r="B397" s="77">
        <v>6.3500000000000001E-2</v>
      </c>
      <c r="C397" s="77">
        <v>6.7416699999999996E-2</v>
      </c>
      <c r="D397" s="77">
        <v>7.0083300000000001E-2</v>
      </c>
      <c r="E397" s="77">
        <v>7.6499999999999999E-2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C168"/>
  <sheetViews>
    <sheetView workbookViewId="0"/>
  </sheetViews>
  <sheetFormatPr defaultRowHeight="14.4" x14ac:dyDescent="0.3"/>
  <cols>
    <col min="1" max="1" width="16.44140625" customWidth="1"/>
    <col min="3" max="3" width="13.109375" customWidth="1"/>
  </cols>
  <sheetData>
    <row r="1" spans="1:3" x14ac:dyDescent="0.3">
      <c r="A1" s="39" t="s">
        <v>46</v>
      </c>
      <c r="C1" s="39" t="s">
        <v>93</v>
      </c>
    </row>
    <row r="2" spans="1:3" x14ac:dyDescent="0.3">
      <c r="A2" s="71">
        <v>42737</v>
      </c>
      <c r="C2" s="98">
        <v>43132</v>
      </c>
    </row>
    <row r="3" spans="1:3" x14ac:dyDescent="0.3">
      <c r="A3" s="71">
        <v>42815</v>
      </c>
      <c r="C3" s="98">
        <f>EDATE(C2,1)</f>
        <v>43160</v>
      </c>
    </row>
    <row r="4" spans="1:3" x14ac:dyDescent="0.3">
      <c r="A4" s="71">
        <v>42839</v>
      </c>
      <c r="C4" s="98">
        <f t="shared" ref="C4:C8" si="0">EDATE(C3,1)</f>
        <v>43191</v>
      </c>
    </row>
    <row r="5" spans="1:3" x14ac:dyDescent="0.3">
      <c r="A5" s="71">
        <v>42842</v>
      </c>
      <c r="C5" s="98">
        <f t="shared" si="0"/>
        <v>43221</v>
      </c>
    </row>
    <row r="6" spans="1:3" x14ac:dyDescent="0.3">
      <c r="A6" s="71">
        <v>42852</v>
      </c>
      <c r="C6" s="98">
        <f t="shared" si="0"/>
        <v>43252</v>
      </c>
    </row>
    <row r="7" spans="1:3" x14ac:dyDescent="0.3">
      <c r="A7" s="71">
        <v>42856</v>
      </c>
      <c r="C7" s="98">
        <f t="shared" si="0"/>
        <v>43282</v>
      </c>
    </row>
    <row r="8" spans="1:3" x14ac:dyDescent="0.3">
      <c r="A8" s="71">
        <v>42902</v>
      </c>
      <c r="C8" s="98">
        <f t="shared" si="0"/>
        <v>43313</v>
      </c>
    </row>
    <row r="9" spans="1:3" x14ac:dyDescent="0.3">
      <c r="A9" s="71">
        <v>42956</v>
      </c>
    </row>
    <row r="10" spans="1:3" x14ac:dyDescent="0.3">
      <c r="A10" s="71">
        <v>43003</v>
      </c>
    </row>
    <row r="11" spans="1:3" x14ac:dyDescent="0.3">
      <c r="A11" s="71">
        <v>43085</v>
      </c>
    </row>
    <row r="12" spans="1:3" x14ac:dyDescent="0.3">
      <c r="A12" s="71">
        <v>43094</v>
      </c>
    </row>
    <row r="13" spans="1:3" x14ac:dyDescent="0.3">
      <c r="A13" s="71">
        <v>43095</v>
      </c>
    </row>
    <row r="14" spans="1:3" x14ac:dyDescent="0.3">
      <c r="A14" s="71">
        <v>43101</v>
      </c>
    </row>
    <row r="15" spans="1:3" x14ac:dyDescent="0.3">
      <c r="A15" s="71">
        <v>43180</v>
      </c>
    </row>
    <row r="16" spans="1:3" x14ac:dyDescent="0.3">
      <c r="A16" s="71">
        <v>43189</v>
      </c>
    </row>
    <row r="17" spans="1:1" x14ac:dyDescent="0.3">
      <c r="A17" s="71">
        <v>43192</v>
      </c>
    </row>
    <row r="18" spans="1:1" x14ac:dyDescent="0.3">
      <c r="A18" s="71">
        <v>43217</v>
      </c>
    </row>
    <row r="19" spans="1:1" x14ac:dyDescent="0.3">
      <c r="A19" s="71">
        <v>43221</v>
      </c>
    </row>
    <row r="20" spans="1:1" x14ac:dyDescent="0.3">
      <c r="A20" s="71">
        <v>43267</v>
      </c>
    </row>
    <row r="21" spans="1:1" x14ac:dyDescent="0.3">
      <c r="A21" s="71">
        <v>43321</v>
      </c>
    </row>
    <row r="22" spans="1:1" x14ac:dyDescent="0.3">
      <c r="A22" s="71">
        <v>43367</v>
      </c>
    </row>
    <row r="23" spans="1:1" x14ac:dyDescent="0.3">
      <c r="A23" s="71">
        <v>43451</v>
      </c>
    </row>
    <row r="24" spans="1:1" x14ac:dyDescent="0.3">
      <c r="A24" s="71">
        <v>43459</v>
      </c>
    </row>
    <row r="25" spans="1:1" x14ac:dyDescent="0.3">
      <c r="A25" s="71">
        <v>43460</v>
      </c>
    </row>
    <row r="26" spans="1:1" x14ac:dyDescent="0.3">
      <c r="A26" s="71">
        <v>43466</v>
      </c>
    </row>
    <row r="27" spans="1:1" x14ac:dyDescent="0.3">
      <c r="A27" s="71">
        <v>43545</v>
      </c>
    </row>
    <row r="28" spans="1:1" x14ac:dyDescent="0.3">
      <c r="A28" s="71">
        <v>43574</v>
      </c>
    </row>
    <row r="29" spans="1:1" x14ac:dyDescent="0.3">
      <c r="A29" s="71">
        <v>43577</v>
      </c>
    </row>
    <row r="30" spans="1:1" x14ac:dyDescent="0.3">
      <c r="A30" s="71">
        <v>43582</v>
      </c>
    </row>
    <row r="31" spans="1:1" x14ac:dyDescent="0.3">
      <c r="A31" s="71">
        <v>43586</v>
      </c>
    </row>
    <row r="32" spans="1:1" x14ac:dyDescent="0.3">
      <c r="A32" s="71">
        <v>43633</v>
      </c>
    </row>
    <row r="33" spans="1:1" x14ac:dyDescent="0.3">
      <c r="A33" s="71">
        <v>43686</v>
      </c>
    </row>
    <row r="34" spans="1:1" x14ac:dyDescent="0.3">
      <c r="A34" s="71">
        <v>43732</v>
      </c>
    </row>
    <row r="35" spans="1:1" x14ac:dyDescent="0.3">
      <c r="A35" s="71">
        <v>43815</v>
      </c>
    </row>
    <row r="36" spans="1:1" x14ac:dyDescent="0.3">
      <c r="A36" s="71">
        <v>43824</v>
      </c>
    </row>
    <row r="37" spans="1:1" x14ac:dyDescent="0.3">
      <c r="A37" s="71">
        <v>43825</v>
      </c>
    </row>
    <row r="38" spans="1:1" x14ac:dyDescent="0.3">
      <c r="A38" s="71">
        <v>43831</v>
      </c>
    </row>
    <row r="39" spans="1:1" x14ac:dyDescent="0.3">
      <c r="A39" s="71">
        <v>43911</v>
      </c>
    </row>
    <row r="40" spans="1:1" x14ac:dyDescent="0.3">
      <c r="A40" s="71">
        <v>43931</v>
      </c>
    </row>
    <row r="41" spans="1:1" x14ac:dyDescent="0.3">
      <c r="A41" s="71">
        <v>43934</v>
      </c>
    </row>
    <row r="42" spans="1:1" x14ac:dyDescent="0.3">
      <c r="A42" s="71">
        <v>43948</v>
      </c>
    </row>
    <row r="43" spans="1:1" x14ac:dyDescent="0.3">
      <c r="A43" s="71">
        <v>43952</v>
      </c>
    </row>
    <row r="44" spans="1:1" x14ac:dyDescent="0.3">
      <c r="A44" s="71">
        <v>43998</v>
      </c>
    </row>
    <row r="45" spans="1:1" x14ac:dyDescent="0.3">
      <c r="A45" s="71">
        <v>44053</v>
      </c>
    </row>
    <row r="46" spans="1:1" x14ac:dyDescent="0.3">
      <c r="A46" s="71">
        <v>44098</v>
      </c>
    </row>
    <row r="47" spans="1:1" x14ac:dyDescent="0.3">
      <c r="A47" s="71">
        <v>44181</v>
      </c>
    </row>
    <row r="48" spans="1:1" x14ac:dyDescent="0.3">
      <c r="A48" s="71">
        <v>44190</v>
      </c>
    </row>
    <row r="49" spans="1:1" x14ac:dyDescent="0.3">
      <c r="A49" s="71">
        <v>44191</v>
      </c>
    </row>
    <row r="50" spans="1:1" x14ac:dyDescent="0.3">
      <c r="A50" s="71">
        <v>44197</v>
      </c>
    </row>
    <row r="51" spans="1:1" x14ac:dyDescent="0.3">
      <c r="A51" s="71">
        <v>44277</v>
      </c>
    </row>
    <row r="52" spans="1:1" x14ac:dyDescent="0.3">
      <c r="A52" s="71">
        <v>44288</v>
      </c>
    </row>
    <row r="53" spans="1:1" x14ac:dyDescent="0.3">
      <c r="A53" s="71">
        <v>44291</v>
      </c>
    </row>
    <row r="54" spans="1:1" x14ac:dyDescent="0.3">
      <c r="A54" s="71">
        <v>44313</v>
      </c>
    </row>
    <row r="55" spans="1:1" x14ac:dyDescent="0.3">
      <c r="A55" s="71">
        <v>44317</v>
      </c>
    </row>
    <row r="56" spans="1:1" x14ac:dyDescent="0.3">
      <c r="A56" s="71">
        <v>44363</v>
      </c>
    </row>
    <row r="57" spans="1:1" x14ac:dyDescent="0.3">
      <c r="A57" s="71">
        <v>44417</v>
      </c>
    </row>
    <row r="58" spans="1:1" x14ac:dyDescent="0.3">
      <c r="A58" s="71">
        <v>44463</v>
      </c>
    </row>
    <row r="59" spans="1:1" x14ac:dyDescent="0.3">
      <c r="A59" s="71">
        <v>44546</v>
      </c>
    </row>
    <row r="60" spans="1:1" x14ac:dyDescent="0.3">
      <c r="A60" s="71">
        <v>44555</v>
      </c>
    </row>
    <row r="61" spans="1:1" x14ac:dyDescent="0.3">
      <c r="A61" s="71">
        <v>44557</v>
      </c>
    </row>
    <row r="62" spans="1:1" x14ac:dyDescent="0.3">
      <c r="A62" s="71">
        <v>44562</v>
      </c>
    </row>
    <row r="63" spans="1:1" x14ac:dyDescent="0.3">
      <c r="A63" s="71">
        <v>44641</v>
      </c>
    </row>
    <row r="64" spans="1:1" x14ac:dyDescent="0.3">
      <c r="A64" s="71">
        <v>44666</v>
      </c>
    </row>
    <row r="65" spans="1:1" x14ac:dyDescent="0.3">
      <c r="A65" s="71">
        <v>44669</v>
      </c>
    </row>
    <row r="66" spans="1:1" x14ac:dyDescent="0.3">
      <c r="A66" s="71">
        <v>44678</v>
      </c>
    </row>
    <row r="67" spans="1:1" x14ac:dyDescent="0.3">
      <c r="A67" s="71">
        <v>44683</v>
      </c>
    </row>
    <row r="68" spans="1:1" x14ac:dyDescent="0.3">
      <c r="A68" s="71">
        <v>44728</v>
      </c>
    </row>
    <row r="69" spans="1:1" x14ac:dyDescent="0.3">
      <c r="A69" s="71">
        <v>44782</v>
      </c>
    </row>
    <row r="70" spans="1:1" x14ac:dyDescent="0.3">
      <c r="A70" s="71">
        <v>44828</v>
      </c>
    </row>
    <row r="71" spans="1:1" x14ac:dyDescent="0.3">
      <c r="A71" s="71">
        <v>44911</v>
      </c>
    </row>
    <row r="72" spans="1:1" x14ac:dyDescent="0.3">
      <c r="A72" s="71">
        <v>44921</v>
      </c>
    </row>
    <row r="73" spans="1:1" x14ac:dyDescent="0.3">
      <c r="A73" s="71">
        <v>44928</v>
      </c>
    </row>
    <row r="74" spans="1:1" x14ac:dyDescent="0.3">
      <c r="A74" s="71">
        <v>45006</v>
      </c>
    </row>
    <row r="75" spans="1:1" x14ac:dyDescent="0.3">
      <c r="A75" s="71">
        <v>45023</v>
      </c>
    </row>
    <row r="76" spans="1:1" x14ac:dyDescent="0.3">
      <c r="A76" s="71">
        <v>45026</v>
      </c>
    </row>
    <row r="77" spans="1:1" x14ac:dyDescent="0.3">
      <c r="A77" s="71">
        <v>45043</v>
      </c>
    </row>
    <row r="78" spans="1:1" x14ac:dyDescent="0.3">
      <c r="A78" s="71">
        <v>45047</v>
      </c>
    </row>
    <row r="79" spans="1:1" x14ac:dyDescent="0.3">
      <c r="A79" s="71">
        <v>45093</v>
      </c>
    </row>
    <row r="80" spans="1:1" x14ac:dyDescent="0.3">
      <c r="A80" s="71">
        <v>45147</v>
      </c>
    </row>
    <row r="81" spans="1:1" x14ac:dyDescent="0.3">
      <c r="A81" s="71">
        <v>45194</v>
      </c>
    </row>
    <row r="82" spans="1:1" x14ac:dyDescent="0.3">
      <c r="A82" s="71">
        <v>45276</v>
      </c>
    </row>
    <row r="83" spans="1:1" x14ac:dyDescent="0.3">
      <c r="A83" s="71">
        <v>45285</v>
      </c>
    </row>
    <row r="84" spans="1:1" x14ac:dyDescent="0.3">
      <c r="A84" s="71">
        <v>45286</v>
      </c>
    </row>
    <row r="85" spans="1:1" x14ac:dyDescent="0.3">
      <c r="A85" s="71">
        <v>45292</v>
      </c>
    </row>
    <row r="86" spans="1:1" x14ac:dyDescent="0.3">
      <c r="A86" s="71">
        <v>45372</v>
      </c>
    </row>
    <row r="87" spans="1:1" x14ac:dyDescent="0.3">
      <c r="A87" s="71">
        <v>45380</v>
      </c>
    </row>
    <row r="88" spans="1:1" x14ac:dyDescent="0.3">
      <c r="A88" s="71">
        <v>45383</v>
      </c>
    </row>
    <row r="89" spans="1:1" x14ac:dyDescent="0.3">
      <c r="A89" s="71">
        <v>45409</v>
      </c>
    </row>
    <row r="90" spans="1:1" x14ac:dyDescent="0.3">
      <c r="A90" s="71">
        <v>45413</v>
      </c>
    </row>
    <row r="91" spans="1:1" x14ac:dyDescent="0.3">
      <c r="A91" s="71">
        <v>45460</v>
      </c>
    </row>
    <row r="92" spans="1:1" x14ac:dyDescent="0.3">
      <c r="A92" s="71">
        <v>45513</v>
      </c>
    </row>
    <row r="93" spans="1:1" x14ac:dyDescent="0.3">
      <c r="A93" s="71">
        <v>45559</v>
      </c>
    </row>
    <row r="94" spans="1:1" x14ac:dyDescent="0.3">
      <c r="A94" s="71">
        <v>45642</v>
      </c>
    </row>
    <row r="95" spans="1:1" x14ac:dyDescent="0.3">
      <c r="A95" s="71">
        <v>45651</v>
      </c>
    </row>
    <row r="96" spans="1:1" x14ac:dyDescent="0.3">
      <c r="A96" s="71">
        <v>45652</v>
      </c>
    </row>
    <row r="97" spans="1:1" x14ac:dyDescent="0.3">
      <c r="A97" s="71">
        <v>45658</v>
      </c>
    </row>
    <row r="98" spans="1:1" x14ac:dyDescent="0.3">
      <c r="A98" s="71">
        <v>45737</v>
      </c>
    </row>
    <row r="99" spans="1:1" x14ac:dyDescent="0.3">
      <c r="A99" s="71">
        <v>45765</v>
      </c>
    </row>
    <row r="100" spans="1:1" x14ac:dyDescent="0.3">
      <c r="A100" s="71">
        <v>45768</v>
      </c>
    </row>
    <row r="101" spans="1:1" x14ac:dyDescent="0.3">
      <c r="A101" s="71">
        <v>45775</v>
      </c>
    </row>
    <row r="102" spans="1:1" x14ac:dyDescent="0.3">
      <c r="A102" s="71">
        <v>45778</v>
      </c>
    </row>
    <row r="103" spans="1:1" x14ac:dyDescent="0.3">
      <c r="A103" s="71">
        <v>45824</v>
      </c>
    </row>
    <row r="104" spans="1:1" x14ac:dyDescent="0.3">
      <c r="A104" s="71">
        <v>45878</v>
      </c>
    </row>
    <row r="105" spans="1:1" x14ac:dyDescent="0.3">
      <c r="A105" s="71">
        <v>45924</v>
      </c>
    </row>
    <row r="106" spans="1:1" x14ac:dyDescent="0.3">
      <c r="A106" s="71">
        <v>46007</v>
      </c>
    </row>
    <row r="107" spans="1:1" x14ac:dyDescent="0.3">
      <c r="A107" s="71">
        <v>46016</v>
      </c>
    </row>
    <row r="108" spans="1:1" x14ac:dyDescent="0.3">
      <c r="A108" s="71">
        <v>46017</v>
      </c>
    </row>
    <row r="109" spans="1:1" x14ac:dyDescent="0.3">
      <c r="A109" s="71">
        <v>46023</v>
      </c>
    </row>
    <row r="110" spans="1:1" x14ac:dyDescent="0.3">
      <c r="A110" s="71">
        <v>46102</v>
      </c>
    </row>
    <row r="111" spans="1:1" x14ac:dyDescent="0.3">
      <c r="A111" s="71">
        <v>46115</v>
      </c>
    </row>
    <row r="112" spans="1:1" x14ac:dyDescent="0.3">
      <c r="A112" s="71">
        <v>46118</v>
      </c>
    </row>
    <row r="113" spans="1:1" x14ac:dyDescent="0.3">
      <c r="A113" s="71">
        <v>46139</v>
      </c>
    </row>
    <row r="114" spans="1:1" x14ac:dyDescent="0.3">
      <c r="A114" s="71">
        <v>46143</v>
      </c>
    </row>
    <row r="115" spans="1:1" x14ac:dyDescent="0.3">
      <c r="A115" s="71">
        <v>46189</v>
      </c>
    </row>
    <row r="116" spans="1:1" x14ac:dyDescent="0.3">
      <c r="A116" s="71">
        <v>46244</v>
      </c>
    </row>
    <row r="117" spans="1:1" x14ac:dyDescent="0.3">
      <c r="A117" s="71">
        <v>46289</v>
      </c>
    </row>
    <row r="118" spans="1:1" x14ac:dyDescent="0.3">
      <c r="A118" s="71">
        <v>46372</v>
      </c>
    </row>
    <row r="119" spans="1:1" x14ac:dyDescent="0.3">
      <c r="A119" s="71">
        <v>46381</v>
      </c>
    </row>
    <row r="120" spans="1:1" x14ac:dyDescent="0.3">
      <c r="A120" s="71">
        <v>46382</v>
      </c>
    </row>
    <row r="121" spans="1:1" x14ac:dyDescent="0.3">
      <c r="A121" s="71">
        <v>46388</v>
      </c>
    </row>
    <row r="122" spans="1:1" x14ac:dyDescent="0.3">
      <c r="A122" s="71">
        <v>46468</v>
      </c>
    </row>
    <row r="123" spans="1:1" x14ac:dyDescent="0.3">
      <c r="A123" s="71">
        <v>46472</v>
      </c>
    </row>
    <row r="124" spans="1:1" x14ac:dyDescent="0.3">
      <c r="A124" s="71">
        <v>46475</v>
      </c>
    </row>
    <row r="125" spans="1:1" x14ac:dyDescent="0.3">
      <c r="A125" s="71">
        <v>46504</v>
      </c>
    </row>
    <row r="126" spans="1:1" x14ac:dyDescent="0.3">
      <c r="A126" s="71">
        <v>46508</v>
      </c>
    </row>
    <row r="127" spans="1:1" x14ac:dyDescent="0.3">
      <c r="A127" s="71">
        <v>46554</v>
      </c>
    </row>
    <row r="128" spans="1:1" x14ac:dyDescent="0.3">
      <c r="A128" s="71">
        <v>46608</v>
      </c>
    </row>
    <row r="129" spans="1:1" x14ac:dyDescent="0.3">
      <c r="A129" s="71">
        <v>46654</v>
      </c>
    </row>
    <row r="130" spans="1:1" x14ac:dyDescent="0.3">
      <c r="A130" s="71">
        <v>46737</v>
      </c>
    </row>
    <row r="131" spans="1:1" x14ac:dyDescent="0.3">
      <c r="A131" s="71">
        <v>46746</v>
      </c>
    </row>
    <row r="132" spans="1:1" x14ac:dyDescent="0.3">
      <c r="A132" s="71">
        <v>46748</v>
      </c>
    </row>
    <row r="133" spans="1:1" x14ac:dyDescent="0.3">
      <c r="A133" s="71">
        <v>46753</v>
      </c>
    </row>
    <row r="134" spans="1:1" x14ac:dyDescent="0.3">
      <c r="A134" s="71">
        <v>46833</v>
      </c>
    </row>
    <row r="135" spans="1:1" x14ac:dyDescent="0.3">
      <c r="A135" s="71">
        <v>46857</v>
      </c>
    </row>
    <row r="136" spans="1:1" x14ac:dyDescent="0.3">
      <c r="A136" s="71">
        <v>46860</v>
      </c>
    </row>
    <row r="137" spans="1:1" x14ac:dyDescent="0.3">
      <c r="A137" s="71">
        <v>46870</v>
      </c>
    </row>
    <row r="138" spans="1:1" x14ac:dyDescent="0.3">
      <c r="A138" s="71">
        <v>46874</v>
      </c>
    </row>
    <row r="139" spans="1:1" x14ac:dyDescent="0.3">
      <c r="A139" s="71">
        <v>46920</v>
      </c>
    </row>
    <row r="140" spans="1:1" x14ac:dyDescent="0.3">
      <c r="A140" s="71">
        <v>46974</v>
      </c>
    </row>
    <row r="141" spans="1:1" x14ac:dyDescent="0.3">
      <c r="A141" s="71">
        <v>47021</v>
      </c>
    </row>
    <row r="142" spans="1:1" x14ac:dyDescent="0.3">
      <c r="A142" s="71">
        <v>47103</v>
      </c>
    </row>
    <row r="143" spans="1:1" x14ac:dyDescent="0.3">
      <c r="A143" s="71">
        <v>47112</v>
      </c>
    </row>
    <row r="144" spans="1:1" x14ac:dyDescent="0.3">
      <c r="A144" s="71">
        <v>47113</v>
      </c>
    </row>
    <row r="145" spans="1:1" x14ac:dyDescent="0.3">
      <c r="A145" s="71">
        <v>47119</v>
      </c>
    </row>
    <row r="146" spans="1:1" x14ac:dyDescent="0.3">
      <c r="A146" s="71">
        <v>47198</v>
      </c>
    </row>
    <row r="147" spans="1:1" x14ac:dyDescent="0.3">
      <c r="A147" s="71">
        <v>47207</v>
      </c>
    </row>
    <row r="148" spans="1:1" x14ac:dyDescent="0.3">
      <c r="A148" s="71">
        <v>47210</v>
      </c>
    </row>
    <row r="149" spans="1:1" x14ac:dyDescent="0.3">
      <c r="A149" s="71">
        <v>47235</v>
      </c>
    </row>
    <row r="150" spans="1:1" x14ac:dyDescent="0.3">
      <c r="A150" s="71">
        <v>47239</v>
      </c>
    </row>
    <row r="151" spans="1:1" x14ac:dyDescent="0.3">
      <c r="A151" s="71">
        <v>47285</v>
      </c>
    </row>
    <row r="152" spans="1:1" x14ac:dyDescent="0.3">
      <c r="A152" s="71">
        <v>47339</v>
      </c>
    </row>
    <row r="153" spans="1:1" x14ac:dyDescent="0.3">
      <c r="A153" s="71">
        <v>47385</v>
      </c>
    </row>
    <row r="154" spans="1:1" x14ac:dyDescent="0.3">
      <c r="A154" s="71">
        <v>47469</v>
      </c>
    </row>
    <row r="155" spans="1:1" x14ac:dyDescent="0.3">
      <c r="A155" s="71">
        <v>47477</v>
      </c>
    </row>
    <row r="156" spans="1:1" x14ac:dyDescent="0.3">
      <c r="A156" s="71">
        <v>47478</v>
      </c>
    </row>
    <row r="157" spans="1:1" x14ac:dyDescent="0.3">
      <c r="A157" s="71">
        <v>47484</v>
      </c>
    </row>
    <row r="158" spans="1:1" x14ac:dyDescent="0.3">
      <c r="A158" s="71">
        <v>47563</v>
      </c>
    </row>
    <row r="159" spans="1:1" x14ac:dyDescent="0.3">
      <c r="A159" s="71">
        <v>47592</v>
      </c>
    </row>
    <row r="160" spans="1:1" x14ac:dyDescent="0.3">
      <c r="A160" s="71">
        <v>47595</v>
      </c>
    </row>
    <row r="161" spans="1:1" x14ac:dyDescent="0.3">
      <c r="A161" s="71">
        <v>47600</v>
      </c>
    </row>
    <row r="162" spans="1:1" x14ac:dyDescent="0.3">
      <c r="A162" s="71">
        <v>47604</v>
      </c>
    </row>
    <row r="163" spans="1:1" x14ac:dyDescent="0.3">
      <c r="A163" s="71">
        <v>47651</v>
      </c>
    </row>
    <row r="164" spans="1:1" x14ac:dyDescent="0.3">
      <c r="A164" s="71">
        <v>47704</v>
      </c>
    </row>
    <row r="165" spans="1:1" x14ac:dyDescent="0.3">
      <c r="A165" s="71">
        <v>47750</v>
      </c>
    </row>
    <row r="166" spans="1:1" x14ac:dyDescent="0.3">
      <c r="A166" s="71">
        <v>47833</v>
      </c>
    </row>
    <row r="167" spans="1:1" x14ac:dyDescent="0.3">
      <c r="A167" s="71">
        <v>47842</v>
      </c>
    </row>
    <row r="168" spans="1:1" x14ac:dyDescent="0.3">
      <c r="A168" s="71">
        <v>47843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Contents</vt:lpstr>
      <vt:lpstr>1. Portfolio</vt:lpstr>
      <vt:lpstr>2. Transactions</vt:lpstr>
      <vt:lpstr>3a. Bond data V</vt:lpstr>
      <vt:lpstr>3b. Bond data CPI</vt:lpstr>
      <vt:lpstr>4. Swap calculations</vt:lpstr>
      <vt:lpstr>5a. Bond info</vt:lpstr>
      <vt:lpstr>5b. Spot rates</vt:lpstr>
      <vt:lpstr>5c. Ranges</vt:lpstr>
      <vt:lpstr>Hols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2018-09-05T01:52:00Z</dcterms:modified>
</cp:coreProperties>
</file>